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aift\Documents\"/>
    </mc:Choice>
  </mc:AlternateContent>
  <xr:revisionPtr revIDLastSave="0" documentId="8_{C5749411-D5B9-41FD-BC7B-7C85B9F8A93B}" xr6:coauthVersionLast="47" xr6:coauthVersionMax="47" xr10:uidLastSave="{00000000-0000-0000-0000-000000000000}"/>
  <bookViews>
    <workbookView xWindow="-110" yWindow="-110" windowWidth="19420" windowHeight="10300" xr2:uid="{C71CD682-7FAB-4268-93BE-D977EA94B6DA}"/>
  </bookViews>
  <sheets>
    <sheet name="PIVOT" sheetId="1" r:id="rId1"/>
    <sheet name="DASHBOARD" sheetId="4" r:id="rId2"/>
    <sheet name="TOTAL SALES" sheetId="5" r:id="rId3"/>
    <sheet name="TOTAL PROFIT" sheetId="7" r:id="rId4"/>
    <sheet name="TOTAL QUANTITY" sheetId="9" r:id="rId5"/>
    <sheet name="COUNT ORDER DATE" sheetId="10" r:id="rId6"/>
  </sheets>
  <definedNames>
    <definedName name="Slicer_Order_Date__Month">#N/A</definedName>
    <definedName name="Slicer_Order_Date__Year">#N/A</definedName>
    <definedName name="Slicer_Reg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s>
  <extLst>
    <ext xmlns:x14="http://schemas.microsoft.com/office/spreadsheetml/2009/9/main" uri="{876F7934-8845-4945-9796-88D515C7AA90}">
      <x14:pivotCaches>
        <pivotCache cacheId="21" r:id="rId28"/>
      </x14:pivotCaches>
    </ex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s Order Full Dataset_3dfce437-b7e8-40c6-bf03-2843fd600669" name="Retails Order Full Dataset" connection="Query - Retails Order Full Dataset"/>
        </x15:modelTables>
        <x15:extLst>
          <ext xmlns:x16="http://schemas.microsoft.com/office/spreadsheetml/2014/11/main" uri="{9835A34E-60A6-4A7C-AAB8-D5F71C897F49}">
            <x16:modelTimeGroupings>
              <x16:modelTimeGrouping tableName="Retails Order Full Dataset"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calculatedTimeColumn columnName="Order Date (Day Index)" columnId="Order Date (Day Index)" contentType="daysindex" isSelected="0"/>
                <x16:calculatedTimeColumn columnName="Order Date (Day)" columnId="Order Date (Day)" contentType="days" isSelected="0"/>
              </x16:modelTimeGrouping>
              <x16:modelTimeGrouping tableName="Retails Order Full Dataset"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DE700F-269F-416A-8298-BDF336948777}" name="Query - Retails Order Full Dataset" description="Connection to the 'Retails Order Full Dataset' query in the workbook." type="100" refreshedVersion="8" minRefreshableVersion="5">
    <extLst>
      <ext xmlns:x15="http://schemas.microsoft.com/office/spreadsheetml/2010/11/main" uri="{DE250136-89BD-433C-8126-D09CA5730AF9}">
        <x15:connection id="6ee96954-f28f-4d9d-95d6-241418e2d904"/>
      </ext>
    </extLst>
  </connection>
  <connection id="2" xr16:uid="{74B63B40-1D60-4DFF-ABB9-5DE95FF91B5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<sst xmlns="http://schemas.openxmlformats.org/spreadsheetml/2006/main" count="212" uniqueCount="93">
  <si>
    <t>Row Labels</t>
  </si>
  <si>
    <t>Furniture</t>
  </si>
  <si>
    <t>Office Supplies</t>
  </si>
  <si>
    <t>Technology</t>
  </si>
  <si>
    <t>Grand Total</t>
  </si>
  <si>
    <t>Sum of Sales</t>
  </si>
  <si>
    <t>Sum of Quantity</t>
  </si>
  <si>
    <t>Sum of Profit</t>
  </si>
  <si>
    <t>TOTAL SALES</t>
  </si>
  <si>
    <t>TOTAL PROFIT</t>
  </si>
  <si>
    <t>TOTAL QUANTITY</t>
  </si>
  <si>
    <t>Count of Order Date</t>
  </si>
  <si>
    <t>TOTAL TRANSACTION</t>
  </si>
  <si>
    <t>Count of Returned</t>
  </si>
  <si>
    <t>Second Class</t>
  </si>
  <si>
    <t>Corporate</t>
  </si>
  <si>
    <t>Labels</t>
  </si>
  <si>
    <t>Standard Class</t>
  </si>
  <si>
    <t>Consumer</t>
  </si>
  <si>
    <t>Furnishings</t>
  </si>
  <si>
    <t>Art</t>
  </si>
  <si>
    <t>Accessories</t>
  </si>
  <si>
    <t>Paper</t>
  </si>
  <si>
    <t>First Class</t>
  </si>
  <si>
    <t>Home Office</t>
  </si>
  <si>
    <t>Central</t>
  </si>
  <si>
    <t>Chairs</t>
  </si>
  <si>
    <t>Phones</t>
  </si>
  <si>
    <t>Tables</t>
  </si>
  <si>
    <t>Binders</t>
  </si>
  <si>
    <t>TOTAL RETURNED</t>
  </si>
  <si>
    <t>SALES BY CATEGORY</t>
  </si>
  <si>
    <t>SALES BY SEGMENT</t>
  </si>
  <si>
    <t>SALES BY SUB-CATEGORY</t>
  </si>
  <si>
    <t>MULTIPLE TASK</t>
  </si>
  <si>
    <t>MONTH WISE SALE</t>
  </si>
  <si>
    <t>TOP 10 CUSTOMER</t>
  </si>
  <si>
    <t>Sum of Discount</t>
  </si>
  <si>
    <t>PRODUCT NAME WISE SALE</t>
  </si>
  <si>
    <t>REGION WISE RETURN</t>
  </si>
  <si>
    <t>CATEGORY WISE RETURN</t>
  </si>
  <si>
    <t>CATEGORY WISE DISCOUNT &amp; PROFIT</t>
  </si>
  <si>
    <t>TABLE USE FOR SLICER</t>
  </si>
  <si>
    <t>KPIs</t>
  </si>
  <si>
    <t>SALES WISE ANALYSIS</t>
  </si>
  <si>
    <t>DATE WISE ANALYSIS</t>
  </si>
  <si>
    <t>CATEGORY WISE ANALYSIS</t>
  </si>
  <si>
    <t>PRODUCT AND CUSTOMER WISE ANAYSIS</t>
  </si>
  <si>
    <t>REGION &amp; YEAR WISE</t>
  </si>
  <si>
    <t>SEGMENT WISE SALE</t>
  </si>
  <si>
    <t>QUANTITY WISE</t>
  </si>
  <si>
    <t>ORDER DATE WISE</t>
  </si>
  <si>
    <t>RETURNED WISE</t>
  </si>
  <si>
    <t>PROFIT WISE</t>
  </si>
  <si>
    <t>3-Feb</t>
  </si>
  <si>
    <t>4-Feb</t>
  </si>
  <si>
    <t>5-Feb</t>
  </si>
  <si>
    <t>7-Feb</t>
  </si>
  <si>
    <t>8-Feb</t>
  </si>
  <si>
    <t>10-Feb</t>
  </si>
  <si>
    <t>14-Feb</t>
  </si>
  <si>
    <t>15-Feb</t>
  </si>
  <si>
    <t>16-Feb</t>
  </si>
  <si>
    <t>17-Feb</t>
  </si>
  <si>
    <t>18-Feb</t>
  </si>
  <si>
    <t>20-Feb</t>
  </si>
  <si>
    <t>21-Feb</t>
  </si>
  <si>
    <t>22-Feb</t>
  </si>
  <si>
    <t>23-Feb</t>
  </si>
  <si>
    <t>25-Feb</t>
  </si>
  <si>
    <t>Appliances</t>
  </si>
  <si>
    <t>Supplies</t>
  </si>
  <si>
    <t>Adrian Hane</t>
  </si>
  <si>
    <t>Bryan Davis</t>
  </si>
  <si>
    <t>Denny Joy</t>
  </si>
  <si>
    <t>Erin Ashbrook</t>
  </si>
  <si>
    <t>Julie Kriz</t>
  </si>
  <si>
    <t>Linda Cazamias</t>
  </si>
  <si>
    <t>Paul Van Hugh</t>
  </si>
  <si>
    <t>Penelope Sewall</t>
  </si>
  <si>
    <t>Roland Fjeld</t>
  </si>
  <si>
    <t>Roy Phan</t>
  </si>
  <si>
    <t>Belkin 5 Outlet SurgeMaster Power Centers</t>
  </si>
  <si>
    <t>Chromcraft 48" x 96" Racetrack Double Pedestal Table</t>
  </si>
  <si>
    <t>Enermax Briskie RF Wireless Keyboard and Mouse Combo</t>
  </si>
  <si>
    <t>GBC Durable Plastic Covers</t>
  </si>
  <si>
    <t>Global Executive Mid-Back Manager's Chair</t>
  </si>
  <si>
    <t>Honeywell Enviracaire Portable Air Cleaner for up to 8 x 10 Room</t>
  </si>
  <si>
    <t>Innergie mMini Combo Duo USB Travel Charging Kit</t>
  </si>
  <si>
    <t>Newell 34</t>
  </si>
  <si>
    <t>Panasonic KP-380BK Classic Electric Pencil Sharpener</t>
  </si>
  <si>
    <t>White Dual Perf Computer Printout Paper, 2700 Sheets, 1 Part, Heavyweight, 20 lbs., 14 7/8 x 11</t>
  </si>
  <si>
    <t>Same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</si>
</sst>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0"/>
      <name val="Aptos Narrow"/>
      <family val="2"/>
      <scheme val="minor"/>
    </font>
    <font>
      <sz val="18"/>
      <color theme="1"/>
      <name val="Aptos Narrow"/>
      <family val="2"/>
      <scheme val="minor"/>
    </font>
    <font>
      <sz val="20"/>
      <color theme="1"/>
      <name val="Aptos Narrow"/>
      <family val="2"/>
      <scheme val="minor"/>
    </font>
    <font>
      <sz val="24"/>
      <color theme="1"/>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1" fontId="0" fillId="0" borderId="0" xfId="0" applyNumberFormat="1"/>
    <xf numFmtId="0" fontId="0" fillId="2" borderId="0" xfId="0" applyFill="1"/>
    <xf numFmtId="0" fontId="0" fillId="0" borderId="5" xfId="0" applyBorder="1"/>
    <xf numFmtId="0" fontId="0" fillId="0" borderId="4" xfId="0" applyBorder="1"/>
    <xf numFmtId="0" fontId="1" fillId="2" borderId="4" xfId="0" applyFont="1" applyFill="1" applyBorder="1"/>
    <xf numFmtId="1" fontId="0" fillId="0" borderId="4" xfId="0" applyNumberFormat="1" applyBorder="1"/>
    <xf numFmtId="0" fontId="0" fillId="0" borderId="6" xfId="0" applyBorder="1"/>
    <xf numFmtId="0" fontId="0" fillId="0" borderId="7" xfId="0" applyBorder="1"/>
    <xf numFmtId="1" fontId="0" fillId="0" borderId="5" xfId="0" applyNumberFormat="1" applyBorder="1"/>
    <xf numFmtId="0" fontId="1" fillId="2" borderId="4" xfId="0" applyFont="1" applyFill="1" applyBorder="1" applyAlignment="1">
      <alignment horizontal="left"/>
    </xf>
    <xf numFmtId="1" fontId="0" fillId="0" borderId="8" xfId="0" applyNumberFormat="1" applyBorder="1"/>
    <xf numFmtId="0" fontId="1" fillId="2" borderId="0" xfId="0" applyFont="1" applyFill="1" applyAlignment="1">
      <alignment horizontal="left"/>
    </xf>
    <xf numFmtId="0" fontId="0" fillId="0" borderId="9" xfId="0" applyBorder="1"/>
    <xf numFmtId="0" fontId="1" fillId="2" borderId="0" xfId="0" applyFont="1" applyFill="1"/>
    <xf numFmtId="1" fontId="0" fillId="0" borderId="9" xfId="0" applyNumberFormat="1" applyBorder="1"/>
    <xf numFmtId="1" fontId="0" fillId="0" borderId="7" xfId="0" applyNumberFormat="1" applyBorder="1"/>
    <xf numFmtId="0" fontId="0" fillId="0" borderId="11" xfId="0" applyBorder="1" applyAlignment="1">
      <alignment horizontal="left"/>
    </xf>
    <xf numFmtId="0" fontId="0" fillId="0" borderId="12" xfId="0" applyBorder="1" applyAlignment="1">
      <alignment horizontal="left"/>
    </xf>
    <xf numFmtId="0" fontId="0" fillId="0" borderId="1" xfId="0" pivotButton="1" applyBorder="1"/>
    <xf numFmtId="0" fontId="0" fillId="0" borderId="1" xfId="0" applyBorder="1" applyAlignment="1">
      <alignment horizontal="left"/>
    </xf>
    <xf numFmtId="0" fontId="0" fillId="0" borderId="1" xfId="0" applyBorder="1"/>
    <xf numFmtId="1" fontId="0" fillId="0" borderId="1" xfId="0" applyNumberFormat="1" applyBorder="1"/>
    <xf numFmtId="1" fontId="0" fillId="0" borderId="10" xfId="0" applyNumberFormat="1" applyBorder="1"/>
    <xf numFmtId="1" fontId="0" fillId="0" borderId="11" xfId="0" applyNumberFormat="1" applyBorder="1"/>
    <xf numFmtId="1" fontId="0" fillId="0" borderId="12" xfId="0" applyNumberFormat="1" applyBorder="1"/>
    <xf numFmtId="0" fontId="0" fillId="0" borderId="10" xfId="0" applyBorder="1" applyAlignment="1">
      <alignment horizontal="left"/>
    </xf>
    <xf numFmtId="1" fontId="0" fillId="0" borderId="2" xfId="0" applyNumberFormat="1" applyBorder="1"/>
    <xf numFmtId="1" fontId="0" fillId="0" borderId="3" xfId="0" applyNumberFormat="1" applyBorder="1"/>
    <xf numFmtId="1" fontId="0" fillId="0" borderId="6" xfId="0" applyNumberFormat="1" applyBorder="1"/>
    <xf numFmtId="0" fontId="0" fillId="0" borderId="13" xfId="0" applyBorder="1"/>
    <xf numFmtId="0" fontId="0" fillId="0" borderId="14" xfId="0" applyBorder="1"/>
    <xf numFmtId="0" fontId="0" fillId="0" borderId="15" xfId="0" applyBorder="1"/>
    <xf numFmtId="0" fontId="0" fillId="0" borderId="12" xfId="0" applyBorder="1"/>
    <xf numFmtId="0" fontId="0" fillId="0" borderId="10" xfId="0" applyBorder="1"/>
    <xf numFmtId="0" fontId="0" fillId="0" borderId="11" xfId="0" applyBorder="1"/>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3" fillId="0" borderId="2" xfId="0" applyFont="1" applyBorder="1" applyAlignment="1">
      <alignment horizontal="center"/>
    </xf>
    <xf numFmtId="0" fontId="0" fillId="0" borderId="8" xfId="0" applyBorder="1" applyAlignment="1">
      <alignment horizontal="center"/>
    </xf>
    <xf numFmtId="0" fontId="4" fillId="0" borderId="8" xfId="0" applyFont="1" applyBorder="1" applyAlignment="1">
      <alignment horizontal="center"/>
    </xf>
    <xf numFmtId="0" fontId="4" fillId="0" borderId="0" xfId="0" applyFont="1" applyAlignment="1">
      <alignment horizontal="center"/>
    </xf>
    <xf numFmtId="0" fontId="3" fillId="0" borderId="8"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cellXfs>
  <cellStyles count="1">
    <cellStyle name="Normal" xfId="0" builtinId="0"/>
  </cellStyles>
  <dxfs count="128">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font>
        <b/>
        <color theme="1"/>
      </font>
      <border>
        <bottom style="thin">
          <color theme="4"/>
        </bottom>
        <vertical/>
        <horizontal/>
      </border>
    </dxf>
    <dxf>
      <font>
        <sz val="7"/>
        <color theme="1"/>
        <name val="Calibri"/>
        <family val="2"/>
        <scheme val="none"/>
      </font>
      <fill>
        <patternFill>
          <fgColor theme="7" tint="-0.24994659260841701"/>
          <bgColor theme="4"/>
        </patternFill>
      </fill>
      <border diagonalUp="0" diagonalDown="0">
        <left/>
        <right/>
        <top/>
        <bottom/>
        <vertical/>
        <horizontal/>
      </border>
    </dxf>
  </dxfs>
  <tableStyles count="1" defaultTableStyle="TableStyleMedium2" defaultPivotStyle="PivotStyleLight16">
    <tableStyle name="SlicerStyleLight1 2" pivot="0" table="0" count="10" xr9:uid="{D4319A34-0BB1-4CF9-8C64-8BEB3EB60455}">
      <tableStyleElement type="wholeTable" dxfId="127"/>
      <tableStyleElement type="headerRow" dxfId="12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microsoft.com/office/2017/06/relationships/rdRichValueTypes" Target="richData/rdRichValueTypes.xml"/><Relationship Id="rId21" Type="http://schemas.openxmlformats.org/officeDocument/2006/relationships/pivotCacheDefinition" Target="pivotCache/pivotCacheDefinition15.xml"/><Relationship Id="rId34" Type="http://schemas.openxmlformats.org/officeDocument/2006/relationships/styles" Target="styles.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07/relationships/slicerCache" Target="slicerCaches/slicerCache1.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theme" Target="theme/theme1.xml"/><Relationship Id="rId37" Type="http://schemas.microsoft.com/office/2017/06/relationships/rdRichValue" Target="richData/rdrichvalue.xml"/><Relationship Id="rId40" Type="http://schemas.openxmlformats.org/officeDocument/2006/relationships/powerPivotData" Target="model/item.data"/><Relationship Id="rId45" Type="http://schemas.openxmlformats.org/officeDocument/2006/relationships/customXml" Target="../customXml/item5.xml"/><Relationship Id="rId53" Type="http://schemas.openxmlformats.org/officeDocument/2006/relationships/customXml" Target="../customXml/item13.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microsoft.com/office/2007/relationships/slicerCache" Target="slicerCaches/slicerCache2.xml"/><Relationship Id="rId35" Type="http://schemas.openxmlformats.org/officeDocument/2006/relationships/sharedStrings" Target="sharedString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pivotCacheDefinition" Target="pivotCache/pivotCacheDefinition2.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connections" Target="connections.xml"/><Relationship Id="rId38" Type="http://schemas.microsoft.com/office/2017/06/relationships/rdRichValueStructure" Target="richData/rdrichvaluestructure.xml"/><Relationship Id="rId46" Type="http://schemas.openxmlformats.org/officeDocument/2006/relationships/customXml" Target="../customXml/item6.xml"/><Relationship Id="rId20" Type="http://schemas.openxmlformats.org/officeDocument/2006/relationships/pivotCacheDefinition" Target="pivotCache/pivotCacheDefinition14.xml"/><Relationship Id="rId41" Type="http://schemas.openxmlformats.org/officeDocument/2006/relationships/customXml" Target="../customXml/item1.xml"/><Relationship Id="rId54"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sheetMetadata" Target="metadata.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4.xml"/><Relationship Id="rId31" Type="http://schemas.microsoft.com/office/2007/relationships/slicerCache" Target="slicerCaches/slicerCache3.xml"/><Relationship Id="rId44" Type="http://schemas.openxmlformats.org/officeDocument/2006/relationships/customXml" Target="../customXml/item4.xml"/><Relationship Id="rId52"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[Retail_Sales_Dashboard.xlsx]PIVOT!PivotTable13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PIVOT!$K$38</c:f>
              <c:strCache>
                <c:ptCount val="1"/>
                <c:pt idx="0">
                  <c:v>Total</c:v>
                </c:pt>
              </c:strCache>
            </c:strRef>
          </c:tx>
          <c:spPr>
            <a:ln w="28575" cap="rnd">
              <a:solidFill>
                <a:srgbClr val="FFC000"/>
              </a:solidFill>
              <a:round/>
            </a:ln>
            <a:effectLst/>
          </c:spPr>
          <c:marker>
            <c:symbol val="none"/>
          </c:marker>
          <c:cat>
            <c:strRef>
              <c:f>PIVOT!$J$39:$J$55</c:f>
              <c:strCache>
                <c:ptCount val="16"/>
                <c:pt idx="0">
                  <c:v>3-Feb</c:v>
                </c:pt>
                <c:pt idx="1">
                  <c:v>4-Feb</c:v>
                </c:pt>
                <c:pt idx="2">
                  <c:v>5-Feb</c:v>
                </c:pt>
                <c:pt idx="3">
                  <c:v>7-Feb</c:v>
                </c:pt>
                <c:pt idx="4">
                  <c:v>8-Feb</c:v>
                </c:pt>
                <c:pt idx="5">
                  <c:v>10-Feb</c:v>
                </c:pt>
                <c:pt idx="6">
                  <c:v>14-Feb</c:v>
                </c:pt>
                <c:pt idx="7">
                  <c:v>15-Feb</c:v>
                </c:pt>
                <c:pt idx="8">
                  <c:v>16-Feb</c:v>
                </c:pt>
                <c:pt idx="9">
                  <c:v>17-Feb</c:v>
                </c:pt>
                <c:pt idx="10">
                  <c:v>18-Feb</c:v>
                </c:pt>
                <c:pt idx="11">
                  <c:v>20-Feb</c:v>
                </c:pt>
                <c:pt idx="12">
                  <c:v>21-Feb</c:v>
                </c:pt>
                <c:pt idx="13">
                  <c:v>22-Feb</c:v>
                </c:pt>
                <c:pt idx="14">
                  <c:v>23-Feb</c:v>
                </c:pt>
                <c:pt idx="15">
                  <c:v>25-Feb</c:v>
                </c:pt>
              </c:strCache>
            </c:strRef>
          </c:cat>
          <c:val>
            <c:numRef>
              <c:f>PIVOT!$K$39:$K$55</c:f>
              <c:numCache>
                <c:formatCode>0</c:formatCode>
                <c:ptCount val="16"/>
                <c:pt idx="0">
                  <c:v>6.976</c:v>
                </c:pt>
                <c:pt idx="1">
                  <c:v>1487.0920000000001</c:v>
                </c:pt>
                <c:pt idx="2">
                  <c:v>95.207999999999998</c:v>
                </c:pt>
                <c:pt idx="3">
                  <c:v>196.744</c:v>
                </c:pt>
                <c:pt idx="4">
                  <c:v>26.7</c:v>
                </c:pt>
                <c:pt idx="5">
                  <c:v>58.05</c:v>
                </c:pt>
                <c:pt idx="6">
                  <c:v>16.175999999999998</c:v>
                </c:pt>
                <c:pt idx="7">
                  <c:v>134.97</c:v>
                </c:pt>
                <c:pt idx="8">
                  <c:v>93.143999999999991</c:v>
                </c:pt>
                <c:pt idx="9">
                  <c:v>535.16800000000001</c:v>
                </c:pt>
                <c:pt idx="10">
                  <c:v>25.16</c:v>
                </c:pt>
                <c:pt idx="11">
                  <c:v>62.31</c:v>
                </c:pt>
                <c:pt idx="12">
                  <c:v>56.754000000000005</c:v>
                </c:pt>
                <c:pt idx="13">
                  <c:v>569.67999999999995</c:v>
                </c:pt>
                <c:pt idx="14">
                  <c:v>6.9359999999999999</c:v>
                </c:pt>
                <c:pt idx="15">
                  <c:v>1.788</c:v>
                </c:pt>
              </c:numCache>
            </c:numRef>
          </c:val>
          <c:smooth val="0"/>
          <c:extLst>
            <c:ext xmlns:c16="http://schemas.microsoft.com/office/drawing/2014/chart" uri="{C3380CC4-5D6E-409C-BE32-E72D297353CC}">
              <c16:uniqueId val="{00000000-03FD-414A-B830-477FC0F75E38}"/>
            </c:ext>
          </c:extLst>
        </c:ser>
        <c:dLbls>
          <c:showLegendKey val="0"/>
          <c:showVal val="0"/>
          <c:showCatName val="0"/>
          <c:showSerName val="0"/>
          <c:showPercent val="0"/>
          <c:showBubbleSize val="0"/>
        </c:dLbls>
        <c:smooth val="0"/>
        <c:axId val="2137220735"/>
        <c:axId val="2137222655"/>
      </c:lineChart>
      <c:catAx>
        <c:axId val="2137220735"/>
        <c:scaling>
          <c:orientation val="minMax"/>
        </c:scaling>
        <c:delete val="1"/>
        <c:axPos val="b"/>
        <c:numFmt formatCode="General" sourceLinked="1"/>
        <c:majorTickMark val="none"/>
        <c:minorTickMark val="none"/>
        <c:tickLblPos val="nextTo"/>
        <c:crossAx val="2137222655"/>
        <c:crosses val="autoZero"/>
        <c:auto val="1"/>
        <c:lblAlgn val="ctr"/>
        <c:lblOffset val="100"/>
        <c:noMultiLvlLbl val="0"/>
      </c:catAx>
      <c:valAx>
        <c:axId val="2137222655"/>
        <c:scaling>
          <c:orientation val="minMax"/>
        </c:scaling>
        <c:delete val="1"/>
        <c:axPos val="l"/>
        <c:numFmt formatCode="0" sourceLinked="1"/>
        <c:majorTickMark val="none"/>
        <c:minorTickMark val="none"/>
        <c:tickLblPos val="nextTo"/>
        <c:crossAx val="213722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[Retail_Sales_Dashboard.xlsx]PIVOT!PivotTable20</c:name>
    <c:fmtId val="9"/>
  </c:pivotSource>
  <c:chart>
    <c:autoTitleDeleted val="1"/>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PIVOT!$N$38</c:f>
              <c:strCache>
                <c:ptCount val="1"/>
                <c:pt idx="0">
                  <c:v>Total</c:v>
                </c:pt>
              </c:strCache>
            </c:strRef>
          </c:tx>
          <c:spPr>
            <a:ln w="28575" cap="rnd">
              <a:solidFill>
                <a:srgbClr val="FFC000"/>
              </a:solidFill>
              <a:round/>
            </a:ln>
            <a:effectLst/>
          </c:spPr>
          <c:marker>
            <c:symbol val="none"/>
          </c:marker>
          <c:cat>
            <c:strRef>
              <c:f>PIVOT!$M$39:$M$55</c:f>
              <c:strCache>
                <c:ptCount val="16"/>
                <c:pt idx="0">
                  <c:v>3-Feb</c:v>
                </c:pt>
                <c:pt idx="1">
                  <c:v>4-Feb</c:v>
                </c:pt>
                <c:pt idx="2">
                  <c:v>5-Feb</c:v>
                </c:pt>
                <c:pt idx="3">
                  <c:v>7-Feb</c:v>
                </c:pt>
                <c:pt idx="4">
                  <c:v>8-Feb</c:v>
                </c:pt>
                <c:pt idx="5">
                  <c:v>10-Feb</c:v>
                </c:pt>
                <c:pt idx="6">
                  <c:v>14-Feb</c:v>
                </c:pt>
                <c:pt idx="7">
                  <c:v>15-Feb</c:v>
                </c:pt>
                <c:pt idx="8">
                  <c:v>16-Feb</c:v>
                </c:pt>
                <c:pt idx="9">
                  <c:v>17-Feb</c:v>
                </c:pt>
                <c:pt idx="10">
                  <c:v>18-Feb</c:v>
                </c:pt>
                <c:pt idx="11">
                  <c:v>20-Feb</c:v>
                </c:pt>
                <c:pt idx="12">
                  <c:v>21-Feb</c:v>
                </c:pt>
                <c:pt idx="13">
                  <c:v>22-Feb</c:v>
                </c:pt>
                <c:pt idx="14">
                  <c:v>23-Feb</c:v>
                </c:pt>
                <c:pt idx="15">
                  <c:v>25-Feb</c:v>
                </c:pt>
              </c:strCache>
            </c:strRef>
          </c:cat>
          <c:val>
            <c:numRef>
              <c:f>PIVOT!$N$39:$N$55</c:f>
              <c:numCache>
                <c:formatCode>0</c:formatCode>
                <c:ptCount val="16"/>
                <c:pt idx="0">
                  <c:v>-1.3952</c:v>
                </c:pt>
                <c:pt idx="1">
                  <c:v>297.79399999999998</c:v>
                </c:pt>
                <c:pt idx="2">
                  <c:v>8.3858999999999995</c:v>
                </c:pt>
                <c:pt idx="3">
                  <c:v>-25.802900000000001</c:v>
                </c:pt>
                <c:pt idx="4">
                  <c:v>12.548999999999999</c:v>
                </c:pt>
                <c:pt idx="5">
                  <c:v>26.702999999999999</c:v>
                </c:pt>
                <c:pt idx="6">
                  <c:v>6.0659999999999998</c:v>
                </c:pt>
                <c:pt idx="7">
                  <c:v>64.785600000000002</c:v>
                </c:pt>
                <c:pt idx="8">
                  <c:v>-227.28479999999999</c:v>
                </c:pt>
                <c:pt idx="9">
                  <c:v>-260.52879999999999</c:v>
                </c:pt>
                <c:pt idx="10">
                  <c:v>-11.321999999999999</c:v>
                </c:pt>
                <c:pt idx="11">
                  <c:v>22.4316</c:v>
                </c:pt>
                <c:pt idx="12">
                  <c:v>-16.711500000000001</c:v>
                </c:pt>
                <c:pt idx="13">
                  <c:v>157.92320000000001</c:v>
                </c:pt>
                <c:pt idx="14">
                  <c:v>2.3409</c:v>
                </c:pt>
                <c:pt idx="15">
                  <c:v>-3.0396000000000001</c:v>
                </c:pt>
              </c:numCache>
            </c:numRef>
          </c:val>
          <c:smooth val="0"/>
          <c:extLst>
            <c:ext xmlns:c16="http://schemas.microsoft.com/office/drawing/2014/chart" uri="{C3380CC4-5D6E-409C-BE32-E72D297353CC}">
              <c16:uniqueId val="{00000000-D76B-451C-8FE0-CC45A54B107A}"/>
            </c:ext>
          </c:extLst>
        </c:ser>
        <c:dLbls>
          <c:showLegendKey val="0"/>
          <c:showVal val="0"/>
          <c:showCatName val="0"/>
          <c:showSerName val="0"/>
          <c:showPercent val="0"/>
          <c:showBubbleSize val="0"/>
        </c:dLbls>
        <c:smooth val="0"/>
        <c:axId val="222164271"/>
        <c:axId val="222166191"/>
      </c:lineChart>
      <c:catAx>
        <c:axId val="222164271"/>
        <c:scaling>
          <c:orientation val="minMax"/>
        </c:scaling>
        <c:delete val="1"/>
        <c:axPos val="b"/>
        <c:numFmt formatCode="General" sourceLinked="1"/>
        <c:majorTickMark val="none"/>
        <c:minorTickMark val="none"/>
        <c:tickLblPos val="nextTo"/>
        <c:crossAx val="222166191"/>
        <c:crosses val="autoZero"/>
        <c:auto val="1"/>
        <c:lblAlgn val="ctr"/>
        <c:lblOffset val="100"/>
        <c:noMultiLvlLbl val="0"/>
      </c:catAx>
      <c:valAx>
        <c:axId val="222166191"/>
        <c:scaling>
          <c:orientation val="minMax"/>
        </c:scaling>
        <c:delete val="1"/>
        <c:axPos val="l"/>
        <c:numFmt formatCode="0" sourceLinked="1"/>
        <c:majorTickMark val="none"/>
        <c:minorTickMark val="none"/>
        <c:tickLblPos val="nextTo"/>
        <c:crossAx val="22216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[Retail_Sales_Dashboard.xlsx]PIVOT!PivotTable21</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PIVOT!$B$37</c:f>
              <c:strCache>
                <c:ptCount val="1"/>
                <c:pt idx="0">
                  <c:v>Total</c:v>
                </c:pt>
              </c:strCache>
            </c:strRef>
          </c:tx>
          <c:spPr>
            <a:ln w="28575" cap="rnd">
              <a:solidFill>
                <a:srgbClr val="FFC000"/>
              </a:solidFill>
              <a:round/>
            </a:ln>
            <a:effectLst/>
          </c:spPr>
          <c:marker>
            <c:symbol val="none"/>
          </c:marker>
          <c:cat>
            <c:strRef>
              <c:f>PIVOT!$A$38:$A$54</c:f>
              <c:strCache>
                <c:ptCount val="16"/>
                <c:pt idx="0">
                  <c:v>3-Feb</c:v>
                </c:pt>
                <c:pt idx="1">
                  <c:v>4-Feb</c:v>
                </c:pt>
                <c:pt idx="2">
                  <c:v>5-Feb</c:v>
                </c:pt>
                <c:pt idx="3">
                  <c:v>7-Feb</c:v>
                </c:pt>
                <c:pt idx="4">
                  <c:v>8-Feb</c:v>
                </c:pt>
                <c:pt idx="5">
                  <c:v>10-Feb</c:v>
                </c:pt>
                <c:pt idx="6">
                  <c:v>14-Feb</c:v>
                </c:pt>
                <c:pt idx="7">
                  <c:v>15-Feb</c:v>
                </c:pt>
                <c:pt idx="8">
                  <c:v>16-Feb</c:v>
                </c:pt>
                <c:pt idx="9">
                  <c:v>17-Feb</c:v>
                </c:pt>
                <c:pt idx="10">
                  <c:v>18-Feb</c:v>
                </c:pt>
                <c:pt idx="11">
                  <c:v>20-Feb</c:v>
                </c:pt>
                <c:pt idx="12">
                  <c:v>21-Feb</c:v>
                </c:pt>
                <c:pt idx="13">
                  <c:v>22-Feb</c:v>
                </c:pt>
                <c:pt idx="14">
                  <c:v>23-Feb</c:v>
                </c:pt>
                <c:pt idx="15">
                  <c:v>25-Feb</c:v>
                </c:pt>
              </c:strCache>
            </c:strRef>
          </c:cat>
          <c:val>
            <c:numRef>
              <c:f>PIVOT!$B$38:$B$54</c:f>
              <c:numCache>
                <c:formatCode>0</c:formatCode>
                <c:ptCount val="16"/>
                <c:pt idx="0">
                  <c:v>4</c:v>
                </c:pt>
                <c:pt idx="1">
                  <c:v>7</c:v>
                </c:pt>
                <c:pt idx="2">
                  <c:v>6</c:v>
                </c:pt>
                <c:pt idx="3">
                  <c:v>9</c:v>
                </c:pt>
                <c:pt idx="4">
                  <c:v>5</c:v>
                </c:pt>
                <c:pt idx="5">
                  <c:v>3</c:v>
                </c:pt>
                <c:pt idx="6">
                  <c:v>3</c:v>
                </c:pt>
                <c:pt idx="7">
                  <c:v>3</c:v>
                </c:pt>
                <c:pt idx="8">
                  <c:v>9</c:v>
                </c:pt>
                <c:pt idx="9">
                  <c:v>17</c:v>
                </c:pt>
                <c:pt idx="10">
                  <c:v>5</c:v>
                </c:pt>
                <c:pt idx="11">
                  <c:v>3</c:v>
                </c:pt>
                <c:pt idx="12">
                  <c:v>6</c:v>
                </c:pt>
                <c:pt idx="13">
                  <c:v>13</c:v>
                </c:pt>
                <c:pt idx="14">
                  <c:v>3</c:v>
                </c:pt>
                <c:pt idx="15">
                  <c:v>3</c:v>
                </c:pt>
              </c:numCache>
            </c:numRef>
          </c:val>
          <c:smooth val="0"/>
          <c:extLst>
            <c:ext xmlns:c16="http://schemas.microsoft.com/office/drawing/2014/chart" uri="{C3380CC4-5D6E-409C-BE32-E72D297353CC}">
              <c16:uniqueId val="{00000000-83F9-4D9D-8570-6564464E2519}"/>
            </c:ext>
          </c:extLst>
        </c:ser>
        <c:dLbls>
          <c:showLegendKey val="0"/>
          <c:showVal val="0"/>
          <c:showCatName val="0"/>
          <c:showSerName val="0"/>
          <c:showPercent val="0"/>
          <c:showBubbleSize val="0"/>
        </c:dLbls>
        <c:smooth val="0"/>
        <c:axId val="2144341199"/>
        <c:axId val="2144343119"/>
      </c:lineChart>
      <c:catAx>
        <c:axId val="2144341199"/>
        <c:scaling>
          <c:orientation val="minMax"/>
        </c:scaling>
        <c:delete val="1"/>
        <c:axPos val="b"/>
        <c:numFmt formatCode="General" sourceLinked="1"/>
        <c:majorTickMark val="none"/>
        <c:minorTickMark val="none"/>
        <c:tickLblPos val="nextTo"/>
        <c:crossAx val="2144343119"/>
        <c:crosses val="autoZero"/>
        <c:auto val="1"/>
        <c:lblAlgn val="ctr"/>
        <c:lblOffset val="100"/>
        <c:noMultiLvlLbl val="0"/>
      </c:catAx>
      <c:valAx>
        <c:axId val="2144343119"/>
        <c:scaling>
          <c:orientation val="minMax"/>
        </c:scaling>
        <c:delete val="1"/>
        <c:axPos val="l"/>
        <c:numFmt formatCode="0" sourceLinked="1"/>
        <c:majorTickMark val="none"/>
        <c:minorTickMark val="none"/>
        <c:tickLblPos val="nextTo"/>
        <c:crossAx val="214434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[Retail_Sales_Dashboard.xlsx]PIVOT!PivotTable22</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PIVOT!$E$37</c:f>
              <c:strCache>
                <c:ptCount val="1"/>
                <c:pt idx="0">
                  <c:v>Total</c:v>
                </c:pt>
              </c:strCache>
            </c:strRef>
          </c:tx>
          <c:spPr>
            <a:ln w="28575" cap="rnd">
              <a:solidFill>
                <a:srgbClr val="FFC000"/>
              </a:solidFill>
              <a:round/>
            </a:ln>
            <a:effectLst/>
          </c:spPr>
          <c:marker>
            <c:symbol val="none"/>
          </c:marker>
          <c:cat>
            <c:strRef>
              <c:f>PIVOT!$D$38:$D$54</c:f>
              <c:strCache>
                <c:ptCount val="16"/>
                <c:pt idx="0">
                  <c:v>3-Feb</c:v>
                </c:pt>
                <c:pt idx="1">
                  <c:v>4-Feb</c:v>
                </c:pt>
                <c:pt idx="2">
                  <c:v>5-Feb</c:v>
                </c:pt>
                <c:pt idx="3">
                  <c:v>7-Feb</c:v>
                </c:pt>
                <c:pt idx="4">
                  <c:v>8-Feb</c:v>
                </c:pt>
                <c:pt idx="5">
                  <c:v>10-Feb</c:v>
                </c:pt>
                <c:pt idx="6">
                  <c:v>14-Feb</c:v>
                </c:pt>
                <c:pt idx="7">
                  <c:v>15-Feb</c:v>
                </c:pt>
                <c:pt idx="8">
                  <c:v>16-Feb</c:v>
                </c:pt>
                <c:pt idx="9">
                  <c:v>17-Feb</c:v>
                </c:pt>
                <c:pt idx="10">
                  <c:v>18-Feb</c:v>
                </c:pt>
                <c:pt idx="11">
                  <c:v>20-Feb</c:v>
                </c:pt>
                <c:pt idx="12">
                  <c:v>21-Feb</c:v>
                </c:pt>
                <c:pt idx="13">
                  <c:v>22-Feb</c:v>
                </c:pt>
                <c:pt idx="14">
                  <c:v>23-Feb</c:v>
                </c:pt>
                <c:pt idx="15">
                  <c:v>25-Feb</c:v>
                </c:pt>
              </c:strCache>
            </c:strRef>
          </c:cat>
          <c:val>
            <c:numRef>
              <c:f>PIVOT!$E$38:$E$54</c:f>
              <c:numCache>
                <c:formatCode>0</c:formatCode>
                <c:ptCount val="16"/>
                <c:pt idx="0">
                  <c:v>1</c:v>
                </c:pt>
                <c:pt idx="1">
                  <c:v>2</c:v>
                </c:pt>
                <c:pt idx="2">
                  <c:v>2</c:v>
                </c:pt>
                <c:pt idx="3">
                  <c:v>2</c:v>
                </c:pt>
                <c:pt idx="4">
                  <c:v>1</c:v>
                </c:pt>
                <c:pt idx="5">
                  <c:v>1</c:v>
                </c:pt>
                <c:pt idx="6">
                  <c:v>1</c:v>
                </c:pt>
                <c:pt idx="7">
                  <c:v>1</c:v>
                </c:pt>
                <c:pt idx="8">
                  <c:v>2</c:v>
                </c:pt>
                <c:pt idx="9">
                  <c:v>2</c:v>
                </c:pt>
                <c:pt idx="10">
                  <c:v>1</c:v>
                </c:pt>
                <c:pt idx="11">
                  <c:v>1</c:v>
                </c:pt>
                <c:pt idx="12">
                  <c:v>2</c:v>
                </c:pt>
                <c:pt idx="13">
                  <c:v>2</c:v>
                </c:pt>
                <c:pt idx="14">
                  <c:v>1</c:v>
                </c:pt>
                <c:pt idx="15">
                  <c:v>1</c:v>
                </c:pt>
              </c:numCache>
            </c:numRef>
          </c:val>
          <c:smooth val="0"/>
          <c:extLst>
            <c:ext xmlns:c16="http://schemas.microsoft.com/office/drawing/2014/chart" uri="{C3380CC4-5D6E-409C-BE32-E72D297353CC}">
              <c16:uniqueId val="{00000000-0440-4EB2-821F-101E4C3B02D3}"/>
            </c:ext>
          </c:extLst>
        </c:ser>
        <c:dLbls>
          <c:showLegendKey val="0"/>
          <c:showVal val="0"/>
          <c:showCatName val="0"/>
          <c:showSerName val="0"/>
          <c:showPercent val="0"/>
          <c:showBubbleSize val="0"/>
        </c:dLbls>
        <c:smooth val="0"/>
        <c:axId val="678027167"/>
        <c:axId val="678027647"/>
      </c:lineChart>
      <c:catAx>
        <c:axId val="678027167"/>
        <c:scaling>
          <c:orientation val="minMax"/>
        </c:scaling>
        <c:delete val="1"/>
        <c:axPos val="b"/>
        <c:numFmt formatCode="General" sourceLinked="1"/>
        <c:majorTickMark val="none"/>
        <c:minorTickMark val="none"/>
        <c:tickLblPos val="nextTo"/>
        <c:crossAx val="678027647"/>
        <c:crosses val="autoZero"/>
        <c:auto val="1"/>
        <c:lblAlgn val="ctr"/>
        <c:lblOffset val="100"/>
        <c:noMultiLvlLbl val="0"/>
      </c:catAx>
      <c:valAx>
        <c:axId val="678027647"/>
        <c:scaling>
          <c:orientation val="minMax"/>
        </c:scaling>
        <c:delete val="1"/>
        <c:axPos val="l"/>
        <c:numFmt formatCode="0" sourceLinked="1"/>
        <c:majorTickMark val="none"/>
        <c:minorTickMark val="none"/>
        <c:tickLblPos val="nextTo"/>
        <c:crossAx val="6780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[Retail_Sales_Dashboard.xlsx]PIVOT!PivotTable9</c:name>
    <c:fmtId val="2"/>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PIVOT!$D$6:$D$9</c:f>
              <c:strCache>
                <c:ptCount val="3"/>
                <c:pt idx="0">
                  <c:v>Furniture</c:v>
                </c:pt>
                <c:pt idx="1">
                  <c:v>Office Supplies</c:v>
                </c:pt>
                <c:pt idx="2">
                  <c:v>Technology</c:v>
                </c:pt>
              </c:strCache>
            </c:strRef>
          </c:cat>
          <c:val>
            <c:numRef>
              <c:f>PIVOT!$E$6:$E$9</c:f>
              <c:numCache>
                <c:formatCode>0</c:formatCode>
                <c:ptCount val="3"/>
                <c:pt idx="0">
                  <c:v>1961.02</c:v>
                </c:pt>
                <c:pt idx="1">
                  <c:v>1166.652</c:v>
                </c:pt>
                <c:pt idx="2">
                  <c:v>245.184</c:v>
                </c:pt>
              </c:numCache>
            </c:numRef>
          </c:val>
          <c:extLst>
            <c:ext xmlns:c16="http://schemas.microsoft.com/office/drawing/2014/chart" uri="{C3380CC4-5D6E-409C-BE32-E72D297353CC}">
              <c16:uniqueId val="{00000000-6901-4D4D-8CDB-4F396359CBDD}"/>
            </c:ext>
          </c:extLst>
        </c:ser>
        <c:dLbls>
          <c:showLegendKey val="0"/>
          <c:showVal val="0"/>
          <c:showCatName val="0"/>
          <c:showSerName val="0"/>
          <c:showPercent val="0"/>
          <c:showBubbleSize val="0"/>
        </c:dLbls>
        <c:gapWidth val="182"/>
        <c:axId val="1893396191"/>
        <c:axId val="1893397151"/>
      </c:barChart>
      <c:catAx>
        <c:axId val="18933961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1893397151"/>
        <c:crosses val="autoZero"/>
        <c:auto val="1"/>
        <c:lblAlgn val="ctr"/>
        <c:lblOffset val="100"/>
        <c:noMultiLvlLbl val="0"/>
      </c:catAx>
      <c:valAx>
        <c:axId val="1893397151"/>
        <c:scaling>
          <c:orientation val="minMax"/>
        </c:scaling>
        <c:delete val="1"/>
        <c:axPos val="b"/>
        <c:numFmt formatCode="0" sourceLinked="1"/>
        <c:majorTickMark val="none"/>
        <c:minorTickMark val="none"/>
        <c:tickLblPos val="nextTo"/>
        <c:crossAx val="189339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[Retail_Sales_Dashboard.xlsx]PIVOT!PivotTable14</c:name>
    <c:fmtId val="2"/>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PIVOT!$M$6:$M$16</c:f>
              <c:strCache>
                <c:ptCount val="10"/>
                <c:pt idx="0">
                  <c:v>Adrian Hane</c:v>
                </c:pt>
                <c:pt idx="1">
                  <c:v>Bryan Davis</c:v>
                </c:pt>
                <c:pt idx="2">
                  <c:v>Denny Joy</c:v>
                </c:pt>
                <c:pt idx="3">
                  <c:v>Erin Ashbrook</c:v>
                </c:pt>
                <c:pt idx="4">
                  <c:v>Julie Kriz</c:v>
                </c:pt>
                <c:pt idx="5">
                  <c:v>Linda Cazamias</c:v>
                </c:pt>
                <c:pt idx="6">
                  <c:v>Paul Van Hugh</c:v>
                </c:pt>
                <c:pt idx="7">
                  <c:v>Penelope Sewall</c:v>
                </c:pt>
                <c:pt idx="8">
                  <c:v>Roland Fjeld</c:v>
                </c:pt>
                <c:pt idx="9">
                  <c:v>Roy Phan</c:v>
                </c:pt>
              </c:strCache>
            </c:strRef>
          </c:cat>
          <c:val>
            <c:numRef>
              <c:f>PIVOT!$N$6:$N$16</c:f>
              <c:numCache>
                <c:formatCode>0</c:formatCode>
                <c:ptCount val="10"/>
                <c:pt idx="0">
                  <c:v>163.96</c:v>
                </c:pt>
                <c:pt idx="1">
                  <c:v>86.352000000000004</c:v>
                </c:pt>
                <c:pt idx="2">
                  <c:v>1454.9</c:v>
                </c:pt>
                <c:pt idx="3">
                  <c:v>92.063999999999993</c:v>
                </c:pt>
                <c:pt idx="4">
                  <c:v>480.96</c:v>
                </c:pt>
                <c:pt idx="5">
                  <c:v>62.31</c:v>
                </c:pt>
                <c:pt idx="6">
                  <c:v>490.32</c:v>
                </c:pt>
                <c:pt idx="7">
                  <c:v>79.36</c:v>
                </c:pt>
                <c:pt idx="8">
                  <c:v>58.05</c:v>
                </c:pt>
                <c:pt idx="9">
                  <c:v>134.97</c:v>
                </c:pt>
              </c:numCache>
            </c:numRef>
          </c:val>
          <c:extLst>
            <c:ext xmlns:c16="http://schemas.microsoft.com/office/drawing/2014/chart" uri="{C3380CC4-5D6E-409C-BE32-E72D297353CC}">
              <c16:uniqueId val="{00000000-4B58-4C5C-A734-C34732DC64CA}"/>
            </c:ext>
          </c:extLst>
        </c:ser>
        <c:dLbls>
          <c:showLegendKey val="0"/>
          <c:showVal val="0"/>
          <c:showCatName val="0"/>
          <c:showSerName val="0"/>
          <c:showPercent val="0"/>
          <c:showBubbleSize val="0"/>
        </c:dLbls>
        <c:gapWidth val="219"/>
        <c:overlap val="-27"/>
        <c:axId val="643118303"/>
        <c:axId val="643121183"/>
      </c:barChart>
      <c:catAx>
        <c:axId val="6431183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643121183"/>
        <c:crosses val="autoZero"/>
        <c:auto val="1"/>
        <c:lblAlgn val="ctr"/>
        <c:lblOffset val="100"/>
        <c:noMultiLvlLbl val="0"/>
      </c:catAx>
      <c:valAx>
        <c:axId val="643121183"/>
        <c:scaling>
          <c:orientation val="minMax"/>
        </c:scaling>
        <c:delete val="1"/>
        <c:axPos val="l"/>
        <c:numFmt formatCode="0" sourceLinked="1"/>
        <c:majorTickMark val="none"/>
        <c:minorTickMark val="none"/>
        <c:tickLblPos val="nextTo"/>
        <c:crossAx val="64311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[Retail_Sales_Dashboard.xlsx]PIVOT!PivotTable8</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2">
              <a:lumMod val="90000"/>
              <a:lumOff val="10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FFC000"/>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PIVOT!$R$16</c:f>
              <c:strCache>
                <c:ptCount val="1"/>
                <c:pt idx="0">
                  <c:v>Total</c:v>
                </c:pt>
              </c:strCache>
            </c:strRef>
          </c:tx>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201F-49DE-8B67-3DE106551B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1F-49DE-8B67-3DE106551B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1F-49DE-8B67-3DE106551B3A}"/>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4942-4432-B982-01E5192CBC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PIVOT!$Q$17:$Q$21</c:f>
              <c:strCache>
                <c:ptCount val="4"/>
                <c:pt idx="0">
                  <c:v>First Class</c:v>
                </c:pt>
                <c:pt idx="1">
                  <c:v>Same Day</c:v>
                </c:pt>
                <c:pt idx="2">
                  <c:v>Second Class</c:v>
                </c:pt>
                <c:pt idx="3">
                  <c:v>Standard Class</c:v>
                </c:pt>
              </c:strCache>
            </c:strRef>
          </c:cat>
          <c:val>
            <c:numRef>
              <c:f>PIVOT!$R$17:$R$21</c:f>
              <c:numCache>
                <c:formatCode>General</c:formatCode>
                <c:ptCount val="4"/>
                <c:pt idx="0">
                  <c:v>163.96</c:v>
                </c:pt>
                <c:pt idx="1">
                  <c:v>57.944000000000003</c:v>
                </c:pt>
                <c:pt idx="2">
                  <c:v>1550.4359999999999</c:v>
                </c:pt>
                <c:pt idx="3">
                  <c:v>1600.5160000000001</c:v>
                </c:pt>
              </c:numCache>
            </c:numRef>
          </c:val>
          <c:extLst>
            <c:ext xmlns:c16="http://schemas.microsoft.com/office/drawing/2014/chart" uri="{C3380CC4-5D6E-409C-BE32-E72D297353CC}">
              <c16:uniqueId val="{00000006-201F-49DE-8B67-3DE106551B3A}"/>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Entry>
      <c:layout>
        <c:manualLayout>
          <c:xMode val="edge"/>
          <c:yMode val="edge"/>
          <c:x val="0.49410422923938629"/>
          <c:y val="0.27869622501780134"/>
          <c:w val="0.50589577786230511"/>
          <c:h val="0.363686779586464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[Retail_Sales_Dashboard.xlsx]PIVOT!PivotTable1</c:name>
    <c:fmtId val="9"/>
  </c:pivotSource>
  <c:chart>
    <c:autoTitleDeleted val="1"/>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PIVOT!$H$37</c:f>
              <c:strCache>
                <c:ptCount val="1"/>
                <c:pt idx="0">
                  <c:v>Total</c:v>
                </c:pt>
              </c:strCache>
            </c:strRef>
          </c:tx>
          <c:spPr>
            <a:ln w="28575" cap="rnd">
              <a:solidFill>
                <a:srgbClr val="FFC000"/>
              </a:solidFill>
              <a:round/>
            </a:ln>
            <a:effectLst/>
          </c:spPr>
          <c:marker>
            <c:symbol val="none"/>
          </c:marker>
          <c:cat>
            <c:strRef>
              <c:f>PIVOT!$G$38:$G$54</c:f>
              <c:strCache>
                <c:ptCount val="16"/>
                <c:pt idx="0">
                  <c:v>3-Feb</c:v>
                </c:pt>
                <c:pt idx="1">
                  <c:v>4-Feb</c:v>
                </c:pt>
                <c:pt idx="2">
                  <c:v>5-Feb</c:v>
                </c:pt>
                <c:pt idx="3">
                  <c:v>7-Feb</c:v>
                </c:pt>
                <c:pt idx="4">
                  <c:v>8-Feb</c:v>
                </c:pt>
                <c:pt idx="5">
                  <c:v>10-Feb</c:v>
                </c:pt>
                <c:pt idx="6">
                  <c:v>14-Feb</c:v>
                </c:pt>
                <c:pt idx="7">
                  <c:v>15-Feb</c:v>
                </c:pt>
                <c:pt idx="8">
                  <c:v>16-Feb</c:v>
                </c:pt>
                <c:pt idx="9">
                  <c:v>17-Feb</c:v>
                </c:pt>
                <c:pt idx="10">
                  <c:v>18-Feb</c:v>
                </c:pt>
                <c:pt idx="11">
                  <c:v>20-Feb</c:v>
                </c:pt>
                <c:pt idx="12">
                  <c:v>21-Feb</c:v>
                </c:pt>
                <c:pt idx="13">
                  <c:v>22-Feb</c:v>
                </c:pt>
                <c:pt idx="14">
                  <c:v>23-Feb</c:v>
                </c:pt>
                <c:pt idx="15">
                  <c:v>25-Feb</c:v>
                </c:pt>
              </c:strCache>
            </c:strRef>
          </c:cat>
          <c:val>
            <c:numRef>
              <c:f>PIVOT!$H$38:$H$54</c:f>
              <c:numCache>
                <c:formatCode>0</c:formatCode>
                <c:ptCount val="16"/>
                <c:pt idx="0">
                  <c:v>1</c:v>
                </c:pt>
                <c:pt idx="1">
                  <c:v>2</c:v>
                </c:pt>
                <c:pt idx="2">
                  <c:v>2</c:v>
                </c:pt>
                <c:pt idx="3">
                  <c:v>2</c:v>
                </c:pt>
                <c:pt idx="4">
                  <c:v>1</c:v>
                </c:pt>
                <c:pt idx="5">
                  <c:v>1</c:v>
                </c:pt>
                <c:pt idx="6">
                  <c:v>1</c:v>
                </c:pt>
                <c:pt idx="7">
                  <c:v>1</c:v>
                </c:pt>
                <c:pt idx="8">
                  <c:v>2</c:v>
                </c:pt>
                <c:pt idx="9">
                  <c:v>2</c:v>
                </c:pt>
                <c:pt idx="10">
                  <c:v>1</c:v>
                </c:pt>
                <c:pt idx="11">
                  <c:v>1</c:v>
                </c:pt>
                <c:pt idx="12">
                  <c:v>2</c:v>
                </c:pt>
                <c:pt idx="13">
                  <c:v>2</c:v>
                </c:pt>
                <c:pt idx="14">
                  <c:v>1</c:v>
                </c:pt>
                <c:pt idx="15">
                  <c:v>1</c:v>
                </c:pt>
              </c:numCache>
            </c:numRef>
          </c:val>
          <c:smooth val="0"/>
          <c:extLst>
            <c:ext xmlns:c16="http://schemas.microsoft.com/office/drawing/2014/chart" uri="{C3380CC4-5D6E-409C-BE32-E72D297353CC}">
              <c16:uniqueId val="{00000000-5903-4C00-B17E-D6F4FD916709}"/>
            </c:ext>
          </c:extLst>
        </c:ser>
        <c:dLbls>
          <c:showLegendKey val="0"/>
          <c:showVal val="0"/>
          <c:showCatName val="0"/>
          <c:showSerName val="0"/>
          <c:showPercent val="0"/>
          <c:showBubbleSize val="0"/>
        </c:dLbls>
        <c:smooth val="0"/>
        <c:axId val="767849536"/>
        <c:axId val="767850016"/>
      </c:lineChart>
      <c:catAx>
        <c:axId val="767849536"/>
        <c:scaling>
          <c:orientation val="minMax"/>
        </c:scaling>
        <c:delete val="1"/>
        <c:axPos val="b"/>
        <c:numFmt formatCode="General" sourceLinked="1"/>
        <c:majorTickMark val="none"/>
        <c:minorTickMark val="none"/>
        <c:tickLblPos val="nextTo"/>
        <c:crossAx val="767850016"/>
        <c:crosses val="autoZero"/>
        <c:auto val="1"/>
        <c:lblAlgn val="ctr"/>
        <c:lblOffset val="100"/>
        <c:noMultiLvlLbl val="0"/>
      </c:catAx>
      <c:valAx>
        <c:axId val="767850016"/>
        <c:scaling>
          <c:orientation val="minMax"/>
        </c:scaling>
        <c:delete val="1"/>
        <c:axPos val="l"/>
        <c:numFmt formatCode="0" sourceLinked="1"/>
        <c:majorTickMark val="none"/>
        <c:minorTickMark val="none"/>
        <c:tickLblPos val="nextTo"/>
        <c:crossAx val="7678495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[Retail_Sales_Dashboard.xlsx]PIVOT!PivotTable15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91035479238433E-2"/>
          <c:y val="0.12710657397356245"/>
          <c:w val="0.62231576781830156"/>
          <c:h val="0.45648813235713021"/>
        </c:manualLayout>
      </c:layout>
      <c:barChart>
        <c:barDir val="col"/>
        <c:grouping val="clustered"/>
        <c:varyColors val="0"/>
        <c:ser>
          <c:idx val="0"/>
          <c:order val="0"/>
          <c:tx>
            <c:strRef>
              <c:f>PIVOT!$N$19</c:f>
              <c:strCache>
                <c:ptCount val="1"/>
                <c:pt idx="0">
                  <c:v>Sum of Sales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PIVOT!$M$20:$M$30</c:f>
              <c:strCache>
                <c:ptCount val="10"/>
                <c:pt idx="0">
                  <c:v>Belkin 5 Outlet SurgeMaster Power Centers</c:v>
                </c:pt>
                <c:pt idx="1">
                  <c:v>Chromcraft 48" x 96" Racetrack Double Pedestal Table</c:v>
                </c:pt>
                <c:pt idx="2">
                  <c:v>Enermax Briskie RF Wireless Keyboard and Mouse Combo</c:v>
                </c:pt>
                <c:pt idx="3">
                  <c:v>GBC Durable Plastic Covers</c:v>
                </c:pt>
                <c:pt idx="4">
                  <c:v>Global Executive Mid-Back Manager's Chair</c:v>
                </c:pt>
                <c:pt idx="5">
                  <c:v>Honeywell Enviracaire Portable Air Cleaner for up to 8 x 10 Room</c:v>
                </c:pt>
                <c:pt idx="6">
                  <c:v>Innergie mMini Combo Duo USB Travel Charging Kit</c:v>
                </c:pt>
                <c:pt idx="7">
                  <c:v>Newell 34</c:v>
                </c:pt>
                <c:pt idx="8">
                  <c:v>Panasonic KP-380BK Classic Electric Pencil Sharpener</c:v>
                </c:pt>
                <c:pt idx="9">
                  <c:v>White Dual Perf Computer Printout Paper, 2700 Sheets, 1 Part, Heavyweight, 20 lbs., 14 7/8 x 11</c:v>
                </c:pt>
              </c:strCache>
            </c:strRef>
          </c:cat>
          <c:val>
            <c:numRef>
              <c:f>PIVOT!$N$20:$N$30</c:f>
              <c:numCache>
                <c:formatCode>0</c:formatCode>
                <c:ptCount val="10"/>
                <c:pt idx="0">
                  <c:v>490.32</c:v>
                </c:pt>
                <c:pt idx="1">
                  <c:v>480.96</c:v>
                </c:pt>
                <c:pt idx="2">
                  <c:v>62.31</c:v>
                </c:pt>
                <c:pt idx="3">
                  <c:v>58.05</c:v>
                </c:pt>
                <c:pt idx="4">
                  <c:v>1454.9</c:v>
                </c:pt>
                <c:pt idx="5">
                  <c:v>92.063999999999993</c:v>
                </c:pt>
                <c:pt idx="6">
                  <c:v>134.97</c:v>
                </c:pt>
                <c:pt idx="7">
                  <c:v>79.36</c:v>
                </c:pt>
                <c:pt idx="8">
                  <c:v>86.352000000000004</c:v>
                </c:pt>
                <c:pt idx="9">
                  <c:v>163.96</c:v>
                </c:pt>
              </c:numCache>
            </c:numRef>
          </c:val>
          <c:extLst>
            <c:ext xmlns:c16="http://schemas.microsoft.com/office/drawing/2014/chart" uri="{C3380CC4-5D6E-409C-BE32-E72D297353CC}">
              <c16:uniqueId val="{00000000-FE0F-4AA5-9AC1-4A46EF05781F}"/>
            </c:ext>
          </c:extLst>
        </c:ser>
        <c:dLbls>
          <c:showLegendKey val="0"/>
          <c:showVal val="0"/>
          <c:showCatName val="0"/>
          <c:showSerName val="0"/>
          <c:showPercent val="0"/>
          <c:showBubbleSize val="0"/>
        </c:dLbls>
        <c:gapWidth val="150"/>
        <c:axId val="767839456"/>
        <c:axId val="767823616"/>
      </c:barChart>
      <c:lineChart>
        <c:grouping val="standard"/>
        <c:varyColors val="0"/>
        <c:ser>
          <c:idx val="1"/>
          <c:order val="1"/>
          <c:tx>
            <c:strRef>
              <c:f>PIVOT!$O$19</c:f>
              <c:strCache>
                <c:ptCount val="1"/>
                <c:pt idx="0">
                  <c:v>Sum of Discount</c:v>
                </c:pt>
              </c:strCache>
            </c:strRef>
          </c:tx>
          <c:spPr>
            <a:ln w="28575" cap="rnd">
              <a:solidFill>
                <a:schemeClr val="accent2"/>
              </a:solidFill>
              <a:round/>
            </a:ln>
            <a:effectLst/>
          </c:spPr>
          <c:marker>
            <c:symbol val="none"/>
          </c:marker>
          <c:cat>
            <c:strRef>
              <c:f>PIVOT!$M$20:$M$30</c:f>
              <c:strCache>
                <c:ptCount val="10"/>
                <c:pt idx="0">
                  <c:v>Belkin 5 Outlet SurgeMaster Power Centers</c:v>
                </c:pt>
                <c:pt idx="1">
                  <c:v>Chromcraft 48" x 96" Racetrack Double Pedestal Table</c:v>
                </c:pt>
                <c:pt idx="2">
                  <c:v>Enermax Briskie RF Wireless Keyboard and Mouse Combo</c:v>
                </c:pt>
                <c:pt idx="3">
                  <c:v>GBC Durable Plastic Covers</c:v>
                </c:pt>
                <c:pt idx="4">
                  <c:v>Global Executive Mid-Back Manager's Chair</c:v>
                </c:pt>
                <c:pt idx="5">
                  <c:v>Honeywell Enviracaire Portable Air Cleaner for up to 8 x 10 Room</c:v>
                </c:pt>
                <c:pt idx="6">
                  <c:v>Innergie mMini Combo Duo USB Travel Charging Kit</c:v>
                </c:pt>
                <c:pt idx="7">
                  <c:v>Newell 34</c:v>
                </c:pt>
                <c:pt idx="8">
                  <c:v>Panasonic KP-380BK Classic Electric Pencil Sharpener</c:v>
                </c:pt>
                <c:pt idx="9">
                  <c:v>White Dual Perf Computer Printout Paper, 2700 Sheets, 1 Part, Heavyweight, 20 lbs., 14 7/8 x 11</c:v>
                </c:pt>
              </c:strCache>
            </c:strRef>
          </c:cat>
          <c:val>
            <c:numRef>
              <c:f>PIVOT!$O$20:$O$30</c:f>
              <c:numCache>
                <c:formatCode>0</c:formatCode>
                <c:ptCount val="10"/>
                <c:pt idx="0">
                  <c:v>0</c:v>
                </c:pt>
                <c:pt idx="1">
                  <c:v>0.5</c:v>
                </c:pt>
                <c:pt idx="2">
                  <c:v>0</c:v>
                </c:pt>
                <c:pt idx="3">
                  <c:v>0</c:v>
                </c:pt>
                <c:pt idx="4">
                  <c:v>0</c:v>
                </c:pt>
                <c:pt idx="5">
                  <c:v>0.8</c:v>
                </c:pt>
                <c:pt idx="6">
                  <c:v>0</c:v>
                </c:pt>
                <c:pt idx="7">
                  <c:v>0</c:v>
                </c:pt>
                <c:pt idx="8">
                  <c:v>0.2</c:v>
                </c:pt>
                <c:pt idx="9">
                  <c:v>0.2</c:v>
                </c:pt>
              </c:numCache>
            </c:numRef>
          </c:val>
          <c:smooth val="0"/>
          <c:extLst>
            <c:ext xmlns:c16="http://schemas.microsoft.com/office/drawing/2014/chart" uri="{C3380CC4-5D6E-409C-BE32-E72D297353CC}">
              <c16:uniqueId val="{00000001-FE0F-4AA5-9AC1-4A46EF05781F}"/>
            </c:ext>
          </c:extLst>
        </c:ser>
        <c:dLbls>
          <c:showLegendKey val="0"/>
          <c:showVal val="0"/>
          <c:showCatName val="0"/>
          <c:showSerName val="0"/>
          <c:showPercent val="0"/>
          <c:showBubbleSize val="0"/>
        </c:dLbls>
        <c:marker val="1"/>
        <c:smooth val="0"/>
        <c:axId val="767839456"/>
        <c:axId val="767823616"/>
      </c:lineChart>
      <c:catAx>
        <c:axId val="7678394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767823616"/>
        <c:crosses val="autoZero"/>
        <c:auto val="1"/>
        <c:lblAlgn val="ctr"/>
        <c:lblOffset val="100"/>
        <c:noMultiLvlLbl val="0"/>
      </c:catAx>
      <c:valAx>
        <c:axId val="767823616"/>
        <c:scaling>
          <c:orientation val="minMax"/>
        </c:scaling>
        <c:delete val="1"/>
        <c:axPos val="l"/>
        <c:numFmt formatCode="0" sourceLinked="1"/>
        <c:majorTickMark val="none"/>
        <c:minorTickMark val="none"/>
        <c:tickLblPos val="nextTo"/>
        <c:crossAx val="76783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[Retail_Sales_Dashboard.xlsx]PIVOT!PivotTable13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00531038271382E-2"/>
          <c:y val="0.21296296296296297"/>
          <c:w val="0.9450816395043643"/>
          <c:h val="0.64077196920540835"/>
        </c:manualLayout>
      </c:layout>
      <c:lineChart>
        <c:grouping val="standard"/>
        <c:varyColors val="0"/>
        <c:ser>
          <c:idx val="0"/>
          <c:order val="0"/>
          <c:tx>
            <c:strRef>
              <c:f>PIVOT!$K$38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PIVOT!$J$39:$J$55</c:f>
              <c:strCache>
                <c:ptCount val="16"/>
                <c:pt idx="0">
                  <c:v>3-Feb</c:v>
                </c:pt>
                <c:pt idx="1">
                  <c:v>4-Feb</c:v>
                </c:pt>
                <c:pt idx="2">
                  <c:v>5-Feb</c:v>
                </c:pt>
                <c:pt idx="3">
                  <c:v>7-Feb</c:v>
                </c:pt>
                <c:pt idx="4">
                  <c:v>8-Feb</c:v>
                </c:pt>
                <c:pt idx="5">
                  <c:v>10-Feb</c:v>
                </c:pt>
                <c:pt idx="6">
                  <c:v>14-Feb</c:v>
                </c:pt>
                <c:pt idx="7">
                  <c:v>15-Feb</c:v>
                </c:pt>
                <c:pt idx="8">
                  <c:v>16-Feb</c:v>
                </c:pt>
                <c:pt idx="9">
                  <c:v>17-Feb</c:v>
                </c:pt>
                <c:pt idx="10">
                  <c:v>18-Feb</c:v>
                </c:pt>
                <c:pt idx="11">
                  <c:v>20-Feb</c:v>
                </c:pt>
                <c:pt idx="12">
                  <c:v>21-Feb</c:v>
                </c:pt>
                <c:pt idx="13">
                  <c:v>22-Feb</c:v>
                </c:pt>
                <c:pt idx="14">
                  <c:v>23-Feb</c:v>
                </c:pt>
                <c:pt idx="15">
                  <c:v>25-Feb</c:v>
                </c:pt>
              </c:strCache>
            </c:strRef>
          </c:cat>
          <c:val>
            <c:numRef>
              <c:f>PIVOT!$K$39:$K$55</c:f>
              <c:numCache>
                <c:formatCode>0</c:formatCode>
                <c:ptCount val="16"/>
                <c:pt idx="0">
                  <c:v>6.976</c:v>
                </c:pt>
                <c:pt idx="1">
                  <c:v>1487.0920000000001</c:v>
                </c:pt>
                <c:pt idx="2">
                  <c:v>95.207999999999998</c:v>
                </c:pt>
                <c:pt idx="3">
                  <c:v>196.744</c:v>
                </c:pt>
                <c:pt idx="4">
                  <c:v>26.7</c:v>
                </c:pt>
                <c:pt idx="5">
                  <c:v>58.05</c:v>
                </c:pt>
                <c:pt idx="6">
                  <c:v>16.175999999999998</c:v>
                </c:pt>
                <c:pt idx="7">
                  <c:v>134.97</c:v>
                </c:pt>
                <c:pt idx="8">
                  <c:v>93.143999999999991</c:v>
                </c:pt>
                <c:pt idx="9">
                  <c:v>535.16800000000001</c:v>
                </c:pt>
                <c:pt idx="10">
                  <c:v>25.16</c:v>
                </c:pt>
                <c:pt idx="11">
                  <c:v>62.31</c:v>
                </c:pt>
                <c:pt idx="12">
                  <c:v>56.754000000000005</c:v>
                </c:pt>
                <c:pt idx="13">
                  <c:v>569.67999999999995</c:v>
                </c:pt>
                <c:pt idx="14">
                  <c:v>6.9359999999999999</c:v>
                </c:pt>
                <c:pt idx="15">
                  <c:v>1.788</c:v>
                </c:pt>
              </c:numCache>
            </c:numRef>
          </c:val>
          <c:smooth val="0"/>
          <c:extLst>
            <c:ext xmlns:c16="http://schemas.microsoft.com/office/drawing/2014/chart" uri="{C3380CC4-5D6E-409C-BE32-E72D297353CC}">
              <c16:uniqueId val="{00000000-FECC-42D9-B99E-B163EACA754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37220735"/>
        <c:axId val="2137222655"/>
      </c:lineChart>
      <c:catAx>
        <c:axId val="2137220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PK"/>
          </a:p>
        </c:txPr>
        <c:crossAx val="2137222655"/>
        <c:crosses val="autoZero"/>
        <c:auto val="1"/>
        <c:lblAlgn val="ctr"/>
        <c:lblOffset val="100"/>
        <c:noMultiLvlLbl val="0"/>
      </c:catAx>
      <c:valAx>
        <c:axId val="2137222655"/>
        <c:scaling>
          <c:orientation val="minMax"/>
        </c:scaling>
        <c:delete val="1"/>
        <c:axPos val="l"/>
        <c:numFmt formatCode="0" sourceLinked="1"/>
        <c:majorTickMark val="none"/>
        <c:minorTickMark val="none"/>
        <c:tickLblPos val="nextTo"/>
        <c:crossAx val="213722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[Retail_Sales_Dashboard.xlsx]PIVOT!PivotTable20</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380047505938245E-2"/>
          <c:y val="0.22222222222222221"/>
          <c:w val="0.94774346793349173"/>
          <c:h val="0.77777777777777779"/>
        </c:manualLayout>
      </c:layout>
      <c:lineChart>
        <c:grouping val="standard"/>
        <c:varyColors val="0"/>
        <c:ser>
          <c:idx val="0"/>
          <c:order val="0"/>
          <c:tx>
            <c:strRef>
              <c:f>PIVOT!$N$38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PIVOT!$M$39:$M$55</c:f>
              <c:strCache>
                <c:ptCount val="16"/>
                <c:pt idx="0">
                  <c:v>3-Feb</c:v>
                </c:pt>
                <c:pt idx="1">
                  <c:v>4-Feb</c:v>
                </c:pt>
                <c:pt idx="2">
                  <c:v>5-Feb</c:v>
                </c:pt>
                <c:pt idx="3">
                  <c:v>7-Feb</c:v>
                </c:pt>
                <c:pt idx="4">
                  <c:v>8-Feb</c:v>
                </c:pt>
                <c:pt idx="5">
                  <c:v>10-Feb</c:v>
                </c:pt>
                <c:pt idx="6">
                  <c:v>14-Feb</c:v>
                </c:pt>
                <c:pt idx="7">
                  <c:v>15-Feb</c:v>
                </c:pt>
                <c:pt idx="8">
                  <c:v>16-Feb</c:v>
                </c:pt>
                <c:pt idx="9">
                  <c:v>17-Feb</c:v>
                </c:pt>
                <c:pt idx="10">
                  <c:v>18-Feb</c:v>
                </c:pt>
                <c:pt idx="11">
                  <c:v>20-Feb</c:v>
                </c:pt>
                <c:pt idx="12">
                  <c:v>21-Feb</c:v>
                </c:pt>
                <c:pt idx="13">
                  <c:v>22-Feb</c:v>
                </c:pt>
                <c:pt idx="14">
                  <c:v>23-Feb</c:v>
                </c:pt>
                <c:pt idx="15">
                  <c:v>25-Feb</c:v>
                </c:pt>
              </c:strCache>
            </c:strRef>
          </c:cat>
          <c:val>
            <c:numRef>
              <c:f>PIVOT!$N$39:$N$55</c:f>
              <c:numCache>
                <c:formatCode>0</c:formatCode>
                <c:ptCount val="16"/>
                <c:pt idx="0">
                  <c:v>-1.3952</c:v>
                </c:pt>
                <c:pt idx="1">
                  <c:v>297.79399999999998</c:v>
                </c:pt>
                <c:pt idx="2">
                  <c:v>8.3858999999999995</c:v>
                </c:pt>
                <c:pt idx="3">
                  <c:v>-25.802900000000001</c:v>
                </c:pt>
                <c:pt idx="4">
                  <c:v>12.548999999999999</c:v>
                </c:pt>
                <c:pt idx="5">
                  <c:v>26.702999999999999</c:v>
                </c:pt>
                <c:pt idx="6">
                  <c:v>6.0659999999999998</c:v>
                </c:pt>
                <c:pt idx="7">
                  <c:v>64.785600000000002</c:v>
                </c:pt>
                <c:pt idx="8">
                  <c:v>-227.28479999999999</c:v>
                </c:pt>
                <c:pt idx="9">
                  <c:v>-260.52879999999999</c:v>
                </c:pt>
                <c:pt idx="10">
                  <c:v>-11.321999999999999</c:v>
                </c:pt>
                <c:pt idx="11">
                  <c:v>22.4316</c:v>
                </c:pt>
                <c:pt idx="12">
                  <c:v>-16.711500000000001</c:v>
                </c:pt>
                <c:pt idx="13">
                  <c:v>157.92320000000001</c:v>
                </c:pt>
                <c:pt idx="14">
                  <c:v>2.3409</c:v>
                </c:pt>
                <c:pt idx="15">
                  <c:v>-3.0396000000000001</c:v>
                </c:pt>
              </c:numCache>
            </c:numRef>
          </c:val>
          <c:smooth val="0"/>
          <c:extLst>
            <c:ext xmlns:c16="http://schemas.microsoft.com/office/drawing/2014/chart" uri="{C3380CC4-5D6E-409C-BE32-E72D297353CC}">
              <c16:uniqueId val="{00000000-C2BE-4672-BB0A-89DA108E384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22164271"/>
        <c:axId val="222166191"/>
      </c:lineChart>
      <c:catAx>
        <c:axId val="222164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PK"/>
          </a:p>
        </c:txPr>
        <c:crossAx val="222166191"/>
        <c:crosses val="autoZero"/>
        <c:auto val="1"/>
        <c:lblAlgn val="ctr"/>
        <c:lblOffset val="100"/>
        <c:noMultiLvlLbl val="0"/>
      </c:catAx>
      <c:valAx>
        <c:axId val="222166191"/>
        <c:scaling>
          <c:orientation val="minMax"/>
        </c:scaling>
        <c:delete val="1"/>
        <c:axPos val="l"/>
        <c:numFmt formatCode="0" sourceLinked="1"/>
        <c:majorTickMark val="none"/>
        <c:minorTickMark val="none"/>
        <c:tickLblPos val="nextTo"/>
        <c:crossAx val="22216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[Retail_Sales_Dashboard.xlsx]PIVOT!PivotTable21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641076115485566E-2"/>
          <c:y val="0.36111111111111105"/>
          <c:w val="0.92580336832895893"/>
          <c:h val="0.45840004374453192"/>
        </c:manualLayout>
      </c:layout>
      <c:lineChart>
        <c:grouping val="standard"/>
        <c:varyColors val="0"/>
        <c:ser>
          <c:idx val="0"/>
          <c:order val="0"/>
          <c:tx>
            <c:strRef>
              <c:f>PIVOT!$B$37</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PIVOT!$A$38:$A$54</c:f>
              <c:strCache>
                <c:ptCount val="16"/>
                <c:pt idx="0">
                  <c:v>3-Feb</c:v>
                </c:pt>
                <c:pt idx="1">
                  <c:v>4-Feb</c:v>
                </c:pt>
                <c:pt idx="2">
                  <c:v>5-Feb</c:v>
                </c:pt>
                <c:pt idx="3">
                  <c:v>7-Feb</c:v>
                </c:pt>
                <c:pt idx="4">
                  <c:v>8-Feb</c:v>
                </c:pt>
                <c:pt idx="5">
                  <c:v>10-Feb</c:v>
                </c:pt>
                <c:pt idx="6">
                  <c:v>14-Feb</c:v>
                </c:pt>
                <c:pt idx="7">
                  <c:v>15-Feb</c:v>
                </c:pt>
                <c:pt idx="8">
                  <c:v>16-Feb</c:v>
                </c:pt>
                <c:pt idx="9">
                  <c:v>17-Feb</c:v>
                </c:pt>
                <c:pt idx="10">
                  <c:v>18-Feb</c:v>
                </c:pt>
                <c:pt idx="11">
                  <c:v>20-Feb</c:v>
                </c:pt>
                <c:pt idx="12">
                  <c:v>21-Feb</c:v>
                </c:pt>
                <c:pt idx="13">
                  <c:v>22-Feb</c:v>
                </c:pt>
                <c:pt idx="14">
                  <c:v>23-Feb</c:v>
                </c:pt>
                <c:pt idx="15">
                  <c:v>25-Feb</c:v>
                </c:pt>
              </c:strCache>
            </c:strRef>
          </c:cat>
          <c:val>
            <c:numRef>
              <c:f>PIVOT!$B$38:$B$54</c:f>
              <c:numCache>
                <c:formatCode>0</c:formatCode>
                <c:ptCount val="16"/>
                <c:pt idx="0">
                  <c:v>4</c:v>
                </c:pt>
                <c:pt idx="1">
                  <c:v>7</c:v>
                </c:pt>
                <c:pt idx="2">
                  <c:v>6</c:v>
                </c:pt>
                <c:pt idx="3">
                  <c:v>9</c:v>
                </c:pt>
                <c:pt idx="4">
                  <c:v>5</c:v>
                </c:pt>
                <c:pt idx="5">
                  <c:v>3</c:v>
                </c:pt>
                <c:pt idx="6">
                  <c:v>3</c:v>
                </c:pt>
                <c:pt idx="7">
                  <c:v>3</c:v>
                </c:pt>
                <c:pt idx="8">
                  <c:v>9</c:v>
                </c:pt>
                <c:pt idx="9">
                  <c:v>17</c:v>
                </c:pt>
                <c:pt idx="10">
                  <c:v>5</c:v>
                </c:pt>
                <c:pt idx="11">
                  <c:v>3</c:v>
                </c:pt>
                <c:pt idx="12">
                  <c:v>6</c:v>
                </c:pt>
                <c:pt idx="13">
                  <c:v>13</c:v>
                </c:pt>
                <c:pt idx="14">
                  <c:v>3</c:v>
                </c:pt>
                <c:pt idx="15">
                  <c:v>3</c:v>
                </c:pt>
              </c:numCache>
            </c:numRef>
          </c:val>
          <c:smooth val="0"/>
          <c:extLst>
            <c:ext xmlns:c16="http://schemas.microsoft.com/office/drawing/2014/chart" uri="{C3380CC4-5D6E-409C-BE32-E72D297353CC}">
              <c16:uniqueId val="{00000000-C278-463F-97EC-9B14D88EF90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44341199"/>
        <c:axId val="2144343119"/>
      </c:lineChart>
      <c:catAx>
        <c:axId val="214434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PK"/>
          </a:p>
        </c:txPr>
        <c:crossAx val="2144343119"/>
        <c:crosses val="autoZero"/>
        <c:auto val="1"/>
        <c:lblAlgn val="ctr"/>
        <c:lblOffset val="100"/>
        <c:noMultiLvlLbl val="0"/>
      </c:catAx>
      <c:valAx>
        <c:axId val="2144343119"/>
        <c:scaling>
          <c:orientation val="minMax"/>
        </c:scaling>
        <c:delete val="1"/>
        <c:axPos val="l"/>
        <c:numFmt formatCode="0" sourceLinked="1"/>
        <c:majorTickMark val="none"/>
        <c:minorTickMark val="none"/>
        <c:tickLblPos val="nextTo"/>
        <c:crossAx val="214434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[Retail_Sales_Dashboard.xlsx]PIVOT!PivotTable22</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150043744531932E-2"/>
          <c:y val="0.27314814814814814"/>
          <c:w val="0.90839873140857397"/>
          <c:h val="0.55168270632837557"/>
        </c:manualLayout>
      </c:layout>
      <c:lineChart>
        <c:grouping val="standard"/>
        <c:varyColors val="0"/>
        <c:ser>
          <c:idx val="0"/>
          <c:order val="0"/>
          <c:tx>
            <c:strRef>
              <c:f>PIVOT!$E$37</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PIVOT!$D$38:$D$54</c:f>
              <c:strCache>
                <c:ptCount val="16"/>
                <c:pt idx="0">
                  <c:v>3-Feb</c:v>
                </c:pt>
                <c:pt idx="1">
                  <c:v>4-Feb</c:v>
                </c:pt>
                <c:pt idx="2">
                  <c:v>5-Feb</c:v>
                </c:pt>
                <c:pt idx="3">
                  <c:v>7-Feb</c:v>
                </c:pt>
                <c:pt idx="4">
                  <c:v>8-Feb</c:v>
                </c:pt>
                <c:pt idx="5">
                  <c:v>10-Feb</c:v>
                </c:pt>
                <c:pt idx="6">
                  <c:v>14-Feb</c:v>
                </c:pt>
                <c:pt idx="7">
                  <c:v>15-Feb</c:v>
                </c:pt>
                <c:pt idx="8">
                  <c:v>16-Feb</c:v>
                </c:pt>
                <c:pt idx="9">
                  <c:v>17-Feb</c:v>
                </c:pt>
                <c:pt idx="10">
                  <c:v>18-Feb</c:v>
                </c:pt>
                <c:pt idx="11">
                  <c:v>20-Feb</c:v>
                </c:pt>
                <c:pt idx="12">
                  <c:v>21-Feb</c:v>
                </c:pt>
                <c:pt idx="13">
                  <c:v>22-Feb</c:v>
                </c:pt>
                <c:pt idx="14">
                  <c:v>23-Feb</c:v>
                </c:pt>
                <c:pt idx="15">
                  <c:v>25-Feb</c:v>
                </c:pt>
              </c:strCache>
            </c:strRef>
          </c:cat>
          <c:val>
            <c:numRef>
              <c:f>PIVOT!$E$38:$E$54</c:f>
              <c:numCache>
                <c:formatCode>0</c:formatCode>
                <c:ptCount val="16"/>
                <c:pt idx="0">
                  <c:v>1</c:v>
                </c:pt>
                <c:pt idx="1">
                  <c:v>2</c:v>
                </c:pt>
                <c:pt idx="2">
                  <c:v>2</c:v>
                </c:pt>
                <c:pt idx="3">
                  <c:v>2</c:v>
                </c:pt>
                <c:pt idx="4">
                  <c:v>1</c:v>
                </c:pt>
                <c:pt idx="5">
                  <c:v>1</c:v>
                </c:pt>
                <c:pt idx="6">
                  <c:v>1</c:v>
                </c:pt>
                <c:pt idx="7">
                  <c:v>1</c:v>
                </c:pt>
                <c:pt idx="8">
                  <c:v>2</c:v>
                </c:pt>
                <c:pt idx="9">
                  <c:v>2</c:v>
                </c:pt>
                <c:pt idx="10">
                  <c:v>1</c:v>
                </c:pt>
                <c:pt idx="11">
                  <c:v>1</c:v>
                </c:pt>
                <c:pt idx="12">
                  <c:v>2</c:v>
                </c:pt>
                <c:pt idx="13">
                  <c:v>2</c:v>
                </c:pt>
                <c:pt idx="14">
                  <c:v>1</c:v>
                </c:pt>
                <c:pt idx="15">
                  <c:v>1</c:v>
                </c:pt>
              </c:numCache>
            </c:numRef>
          </c:val>
          <c:smooth val="0"/>
          <c:extLst>
            <c:ext xmlns:c16="http://schemas.microsoft.com/office/drawing/2014/chart" uri="{C3380CC4-5D6E-409C-BE32-E72D297353CC}">
              <c16:uniqueId val="{00000000-78C7-45FC-9B55-67FEEFFF098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78027167"/>
        <c:axId val="678027647"/>
      </c:lineChart>
      <c:catAx>
        <c:axId val="678027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PK"/>
          </a:p>
        </c:txPr>
        <c:crossAx val="678027647"/>
        <c:crosses val="autoZero"/>
        <c:auto val="1"/>
        <c:lblAlgn val="ctr"/>
        <c:lblOffset val="100"/>
        <c:noMultiLvlLbl val="0"/>
      </c:catAx>
      <c:valAx>
        <c:axId val="678027647"/>
        <c:scaling>
          <c:orientation val="minMax"/>
        </c:scaling>
        <c:delete val="1"/>
        <c:axPos val="l"/>
        <c:numFmt formatCode="0" sourceLinked="1"/>
        <c:majorTickMark val="none"/>
        <c:minorTickMark val="none"/>
        <c:tickLblPos val="nextTo"/>
        <c:crossAx val="6780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4.svg"/><Relationship Id="rId18" Type="http://schemas.openxmlformats.org/officeDocument/2006/relationships/chart" Target="../charts/chart9.xml"/><Relationship Id="rId3" Type="http://schemas.openxmlformats.org/officeDocument/2006/relationships/hyperlink" Target="#'TOTAL PROFIT'!A1"/><Relationship Id="rId7" Type="http://schemas.openxmlformats.org/officeDocument/2006/relationships/chart" Target="../charts/chart4.xml"/><Relationship Id="rId12" Type="http://schemas.openxmlformats.org/officeDocument/2006/relationships/image" Target="../media/image3.png"/><Relationship Id="rId17" Type="http://schemas.openxmlformats.org/officeDocument/2006/relationships/chart" Target="../charts/chart8.xml"/><Relationship Id="rId2" Type="http://schemas.openxmlformats.org/officeDocument/2006/relationships/chart" Target="../charts/chart1.xml"/><Relationship Id="rId16" Type="http://schemas.openxmlformats.org/officeDocument/2006/relationships/chart" Target="../charts/chart7.xml"/><Relationship Id="rId1" Type="http://schemas.openxmlformats.org/officeDocument/2006/relationships/hyperlink" Target="#'TOTAL SALES'!A1"/><Relationship Id="rId6" Type="http://schemas.openxmlformats.org/officeDocument/2006/relationships/hyperlink" Target="#'COUNT ORDER DATE'!A1"/><Relationship Id="rId11" Type="http://schemas.openxmlformats.org/officeDocument/2006/relationships/image" Target="../media/image2.svg"/><Relationship Id="rId5" Type="http://schemas.openxmlformats.org/officeDocument/2006/relationships/chart" Target="../charts/chart3.xml"/><Relationship Id="rId1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8.svg"/></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13822</xdr:colOff>
      <xdr:row>0</xdr:row>
      <xdr:rowOff>0</xdr:rowOff>
    </xdr:from>
    <xdr:to>
      <xdr:col>2</xdr:col>
      <xdr:colOff>204322</xdr:colOff>
      <xdr:row>25</xdr:row>
      <xdr:rowOff>0</xdr:rowOff>
    </xdr:to>
    <xdr:sp macro="" textlink="">
      <xdr:nvSpPr>
        <xdr:cNvPr id="2" name="Rectangle 1">
          <a:extLst>
            <a:ext uri="{FF2B5EF4-FFF2-40B4-BE49-F238E27FC236}">
              <a16:creationId xmlns:a16="http://schemas.microsoft.com/office/drawing/2014/main" id="{3E317E3F-5127-04C7-6CBB-F4BEF3459E05}"/>
            </a:ext>
          </a:extLst>
        </xdr:cNvPr>
        <xdr:cNvSpPr/>
      </xdr:nvSpPr>
      <xdr:spPr>
        <a:xfrm>
          <a:off x="13822" y="0"/>
          <a:ext cx="1415676" cy="466911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152400</xdr:colOff>
      <xdr:row>4</xdr:row>
      <xdr:rowOff>38100</xdr:rowOff>
    </xdr:from>
    <xdr:to>
      <xdr:col>7</xdr:col>
      <xdr:colOff>349250</xdr:colOff>
      <xdr:row>8</xdr:row>
      <xdr:rowOff>38100</xdr:rowOff>
    </xdr:to>
    <xdr:sp macro="" textlink="">
      <xdr:nvSpPr>
        <xdr:cNvPr id="4" name="Rectangle: Rounded Corners 3">
          <a:extLst>
            <a:ext uri="{FF2B5EF4-FFF2-40B4-BE49-F238E27FC236}">
              <a16:creationId xmlns:a16="http://schemas.microsoft.com/office/drawing/2014/main" id="{9EF1C055-CFE3-E682-0A4D-EEBAC0246252}"/>
            </a:ext>
          </a:extLst>
        </xdr:cNvPr>
        <xdr:cNvSpPr/>
      </xdr:nvSpPr>
      <xdr:spPr>
        <a:xfrm>
          <a:off x="3200400" y="406400"/>
          <a:ext cx="1416050" cy="7366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514350</xdr:colOff>
      <xdr:row>4</xdr:row>
      <xdr:rowOff>44450</xdr:rowOff>
    </xdr:from>
    <xdr:to>
      <xdr:col>10</xdr:col>
      <xdr:colOff>101600</xdr:colOff>
      <xdr:row>8</xdr:row>
      <xdr:rowOff>44450</xdr:rowOff>
    </xdr:to>
    <xdr:sp macro="" textlink="">
      <xdr:nvSpPr>
        <xdr:cNvPr id="5" name="Rectangle: Rounded Corners 4">
          <a:extLst>
            <a:ext uri="{FF2B5EF4-FFF2-40B4-BE49-F238E27FC236}">
              <a16:creationId xmlns:a16="http://schemas.microsoft.com/office/drawing/2014/main" id="{831C6F31-4AE8-1807-D79B-BF3DB5B9520E}"/>
            </a:ext>
          </a:extLst>
        </xdr:cNvPr>
        <xdr:cNvSpPr/>
      </xdr:nvSpPr>
      <xdr:spPr>
        <a:xfrm>
          <a:off x="4781550" y="412750"/>
          <a:ext cx="1416050" cy="7366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10</xdr:col>
      <xdr:colOff>234950</xdr:colOff>
      <xdr:row>4</xdr:row>
      <xdr:rowOff>50800</xdr:rowOff>
    </xdr:from>
    <xdr:to>
      <xdr:col>12</xdr:col>
      <xdr:colOff>431800</xdr:colOff>
      <xdr:row>8</xdr:row>
      <xdr:rowOff>50800</xdr:rowOff>
    </xdr:to>
    <xdr:sp macro="" textlink="">
      <xdr:nvSpPr>
        <xdr:cNvPr id="6" name="Rectangle: Rounded Corners 5">
          <a:extLst>
            <a:ext uri="{FF2B5EF4-FFF2-40B4-BE49-F238E27FC236}">
              <a16:creationId xmlns:a16="http://schemas.microsoft.com/office/drawing/2014/main" id="{F7723A2E-23CB-1FC2-CFB7-165272A3EB4D}"/>
            </a:ext>
          </a:extLst>
        </xdr:cNvPr>
        <xdr:cNvSpPr/>
      </xdr:nvSpPr>
      <xdr:spPr>
        <a:xfrm>
          <a:off x="6330950" y="419100"/>
          <a:ext cx="1416050" cy="7366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393700</xdr:colOff>
      <xdr:row>9</xdr:row>
      <xdr:rowOff>25400</xdr:rowOff>
    </xdr:from>
    <xdr:to>
      <xdr:col>7</xdr:col>
      <xdr:colOff>374650</xdr:colOff>
      <xdr:row>17</xdr:row>
      <xdr:rowOff>63500</xdr:rowOff>
    </xdr:to>
    <xdr:sp macro="" textlink="">
      <xdr:nvSpPr>
        <xdr:cNvPr id="7" name="Rectangle 6">
          <a:extLst>
            <a:ext uri="{FF2B5EF4-FFF2-40B4-BE49-F238E27FC236}">
              <a16:creationId xmlns:a16="http://schemas.microsoft.com/office/drawing/2014/main" id="{62ED37C7-8973-C85F-978B-EC3E628FF1C8}"/>
            </a:ext>
          </a:extLst>
        </xdr:cNvPr>
        <xdr:cNvSpPr/>
      </xdr:nvSpPr>
      <xdr:spPr>
        <a:xfrm>
          <a:off x="1612900" y="1314450"/>
          <a:ext cx="3028950" cy="15113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400050</xdr:colOff>
      <xdr:row>4</xdr:row>
      <xdr:rowOff>57150</xdr:rowOff>
    </xdr:from>
    <xdr:to>
      <xdr:col>4</xdr:col>
      <xdr:colOff>596900</xdr:colOff>
      <xdr:row>8</xdr:row>
      <xdr:rowOff>57150</xdr:rowOff>
    </xdr:to>
    <xdr:sp macro="" textlink="">
      <xdr:nvSpPr>
        <xdr:cNvPr id="12" name="Rectangle: Rounded Corners 11">
          <a:extLst>
            <a:ext uri="{FF2B5EF4-FFF2-40B4-BE49-F238E27FC236}">
              <a16:creationId xmlns:a16="http://schemas.microsoft.com/office/drawing/2014/main" id="{4740F1E1-60BF-1F45-D18A-B7A59422C3BE}"/>
            </a:ext>
          </a:extLst>
        </xdr:cNvPr>
        <xdr:cNvSpPr/>
      </xdr:nvSpPr>
      <xdr:spPr>
        <a:xfrm>
          <a:off x="1619250" y="425450"/>
          <a:ext cx="1416050" cy="7366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400050</xdr:colOff>
      <xdr:row>17</xdr:row>
      <xdr:rowOff>120650</xdr:rowOff>
    </xdr:from>
    <xdr:to>
      <xdr:col>7</xdr:col>
      <xdr:colOff>361950</xdr:colOff>
      <xdr:row>24</xdr:row>
      <xdr:rowOff>74706</xdr:rowOff>
    </xdr:to>
    <xdr:sp macro="" textlink="">
      <xdr:nvSpPr>
        <xdr:cNvPr id="13" name="Rectangle: Rounded Corners 12">
          <a:extLst>
            <a:ext uri="{FF2B5EF4-FFF2-40B4-BE49-F238E27FC236}">
              <a16:creationId xmlns:a16="http://schemas.microsoft.com/office/drawing/2014/main" id="{1AD91BA1-BA0F-9F8C-A048-08C5CBF8C95D}"/>
            </a:ext>
          </a:extLst>
        </xdr:cNvPr>
        <xdr:cNvSpPr/>
      </xdr:nvSpPr>
      <xdr:spPr>
        <a:xfrm>
          <a:off x="1625226" y="3295650"/>
          <a:ext cx="3024842" cy="126140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522941</xdr:colOff>
      <xdr:row>17</xdr:row>
      <xdr:rowOff>112059</xdr:rowOff>
    </xdr:from>
    <xdr:to>
      <xdr:col>12</xdr:col>
      <xdr:colOff>469527</xdr:colOff>
      <xdr:row>24</xdr:row>
      <xdr:rowOff>141941</xdr:rowOff>
    </xdr:to>
    <xdr:sp macro="" textlink="">
      <xdr:nvSpPr>
        <xdr:cNvPr id="15" name="Rectangle: Rounded Corners 14">
          <a:extLst>
            <a:ext uri="{FF2B5EF4-FFF2-40B4-BE49-F238E27FC236}">
              <a16:creationId xmlns:a16="http://schemas.microsoft.com/office/drawing/2014/main" id="{C321CE1C-AB2B-93CF-F922-30E772960EB7}"/>
            </a:ext>
          </a:extLst>
        </xdr:cNvPr>
        <xdr:cNvSpPr/>
      </xdr:nvSpPr>
      <xdr:spPr>
        <a:xfrm>
          <a:off x="4811059" y="3287059"/>
          <a:ext cx="3009527" cy="133723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558800</xdr:colOff>
      <xdr:row>9</xdr:row>
      <xdr:rowOff>25400</xdr:rowOff>
    </xdr:from>
    <xdr:to>
      <xdr:col>12</xdr:col>
      <xdr:colOff>431800</xdr:colOff>
      <xdr:row>17</xdr:row>
      <xdr:rowOff>63500</xdr:rowOff>
    </xdr:to>
    <xdr:sp macro="" textlink="">
      <xdr:nvSpPr>
        <xdr:cNvPr id="17" name="Rectangle 16">
          <a:extLst>
            <a:ext uri="{FF2B5EF4-FFF2-40B4-BE49-F238E27FC236}">
              <a16:creationId xmlns:a16="http://schemas.microsoft.com/office/drawing/2014/main" id="{42FF17E1-54E8-683F-90A1-D206B87C533C}"/>
            </a:ext>
          </a:extLst>
        </xdr:cNvPr>
        <xdr:cNvSpPr/>
      </xdr:nvSpPr>
      <xdr:spPr>
        <a:xfrm>
          <a:off x="4826000" y="1314450"/>
          <a:ext cx="2921000" cy="15113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462802</xdr:colOff>
      <xdr:row>1</xdr:row>
      <xdr:rowOff>59763</xdr:rowOff>
    </xdr:from>
    <xdr:to>
      <xdr:col>12</xdr:col>
      <xdr:colOff>268940</xdr:colOff>
      <xdr:row>3</xdr:row>
      <xdr:rowOff>119529</xdr:rowOff>
    </xdr:to>
    <xdr:sp macro="" textlink="">
      <xdr:nvSpPr>
        <xdr:cNvPr id="19" name="Rectangle: Rounded Corners 18">
          <a:extLst>
            <a:ext uri="{FF2B5EF4-FFF2-40B4-BE49-F238E27FC236}">
              <a16:creationId xmlns:a16="http://schemas.microsoft.com/office/drawing/2014/main" id="{C91117BA-C954-B360-0A5C-C80908385C31}"/>
            </a:ext>
          </a:extLst>
        </xdr:cNvPr>
        <xdr:cNvSpPr/>
      </xdr:nvSpPr>
      <xdr:spPr>
        <a:xfrm>
          <a:off x="1687978" y="246528"/>
          <a:ext cx="5932021" cy="43329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19050</xdr:colOff>
      <xdr:row>4</xdr:row>
      <xdr:rowOff>69850</xdr:rowOff>
    </xdr:from>
    <xdr:to>
      <xdr:col>4</xdr:col>
      <xdr:colOff>254000</xdr:colOff>
      <xdr:row>5</xdr:row>
      <xdr:rowOff>88900</xdr:rowOff>
    </xdr:to>
    <xdr:sp macro="" textlink="PIVOT!A6">
      <xdr:nvSpPr>
        <xdr:cNvPr id="21" name="TextBox 20">
          <a:extLst>
            <a:ext uri="{FF2B5EF4-FFF2-40B4-BE49-F238E27FC236}">
              <a16:creationId xmlns:a16="http://schemas.microsoft.com/office/drawing/2014/main" id="{7A202524-9B83-AB9F-F4E1-CB0445CFF962}"/>
            </a:ext>
          </a:extLst>
        </xdr:cNvPr>
        <xdr:cNvSpPr txBox="1"/>
      </xdr:nvSpPr>
      <xdr:spPr>
        <a:xfrm>
          <a:off x="1847850" y="438150"/>
          <a:ext cx="8445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E64F67-0AD1-4B69-A917-94E7BC2D05F8}" type="TxLink">
            <a:rPr lang="en-US" sz="1100" b="0" i="0" u="none" strike="noStrike">
              <a:solidFill>
                <a:schemeClr val="bg1"/>
              </a:solidFill>
              <a:latin typeface="Aptos Narrow"/>
            </a:rPr>
            <a:pPr algn="ctr"/>
            <a:t>3373</a:t>
          </a:fld>
          <a:endParaRPr lang="en-PK" sz="1100">
            <a:solidFill>
              <a:schemeClr val="bg1"/>
            </a:solidFill>
          </a:endParaRPr>
        </a:p>
      </xdr:txBody>
    </xdr:sp>
    <xdr:clientData/>
  </xdr:twoCellAnchor>
  <xdr:twoCellAnchor>
    <xdr:from>
      <xdr:col>2</xdr:col>
      <xdr:colOff>596900</xdr:colOff>
      <xdr:row>5</xdr:row>
      <xdr:rowOff>63500</xdr:rowOff>
    </xdr:from>
    <xdr:to>
      <xdr:col>4</xdr:col>
      <xdr:colOff>298450</xdr:colOff>
      <xdr:row>6</xdr:row>
      <xdr:rowOff>107950</xdr:rowOff>
    </xdr:to>
    <xdr:sp macro="" textlink="">
      <xdr:nvSpPr>
        <xdr:cNvPr id="22" name="TextBox 21">
          <a:extLst>
            <a:ext uri="{FF2B5EF4-FFF2-40B4-BE49-F238E27FC236}">
              <a16:creationId xmlns:a16="http://schemas.microsoft.com/office/drawing/2014/main" id="{2AEF6558-0E4B-7332-4CE2-8BD533A60A66}"/>
            </a:ext>
          </a:extLst>
        </xdr:cNvPr>
        <xdr:cNvSpPr txBox="1"/>
      </xdr:nvSpPr>
      <xdr:spPr>
        <a:xfrm>
          <a:off x="1816100" y="615950"/>
          <a:ext cx="9207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TOTAL SALES</a:t>
          </a:r>
          <a:endParaRPr lang="en-PK" sz="1100">
            <a:solidFill>
              <a:schemeClr val="bg1"/>
            </a:solidFill>
          </a:endParaRPr>
        </a:p>
      </xdr:txBody>
    </xdr:sp>
    <xdr:clientData/>
  </xdr:twoCellAnchor>
  <xdr:twoCellAnchor>
    <xdr:from>
      <xdr:col>5</xdr:col>
      <xdr:colOff>368300</xdr:colOff>
      <xdr:row>4</xdr:row>
      <xdr:rowOff>76200</xdr:rowOff>
    </xdr:from>
    <xdr:to>
      <xdr:col>7</xdr:col>
      <xdr:colOff>69850</xdr:colOff>
      <xdr:row>5</xdr:row>
      <xdr:rowOff>120650</xdr:rowOff>
    </xdr:to>
    <xdr:sp macro="" textlink="PIVOT!A10">
      <xdr:nvSpPr>
        <xdr:cNvPr id="23" name="TextBox 22">
          <a:extLst>
            <a:ext uri="{FF2B5EF4-FFF2-40B4-BE49-F238E27FC236}">
              <a16:creationId xmlns:a16="http://schemas.microsoft.com/office/drawing/2014/main" id="{FB9DF615-7902-56EA-9B17-4B56107BAAF6}"/>
            </a:ext>
          </a:extLst>
        </xdr:cNvPr>
        <xdr:cNvSpPr txBox="1"/>
      </xdr:nvSpPr>
      <xdr:spPr>
        <a:xfrm>
          <a:off x="3416300" y="444500"/>
          <a:ext cx="9207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092909-662C-471F-B116-87CE812A1024}" type="TxLink">
            <a:rPr lang="en-US" sz="1100" b="0" i="0" u="none" strike="noStrike">
              <a:solidFill>
                <a:schemeClr val="bg1"/>
              </a:solidFill>
              <a:latin typeface="Aptos Narrow"/>
            </a:rPr>
            <a:pPr algn="ctr"/>
            <a:t>53</a:t>
          </a:fld>
          <a:endParaRPr lang="en-PK" sz="1100">
            <a:solidFill>
              <a:schemeClr val="bg1"/>
            </a:solidFill>
          </a:endParaRPr>
        </a:p>
      </xdr:txBody>
    </xdr:sp>
    <xdr:clientData/>
  </xdr:twoCellAnchor>
  <xdr:twoCellAnchor>
    <xdr:from>
      <xdr:col>5</xdr:col>
      <xdr:colOff>323850</xdr:colOff>
      <xdr:row>5</xdr:row>
      <xdr:rowOff>82550</xdr:rowOff>
    </xdr:from>
    <xdr:to>
      <xdr:col>7</xdr:col>
      <xdr:colOff>177800</xdr:colOff>
      <xdr:row>6</xdr:row>
      <xdr:rowOff>146050</xdr:rowOff>
    </xdr:to>
    <xdr:sp macro="" textlink="">
      <xdr:nvSpPr>
        <xdr:cNvPr id="24" name="TextBox 23">
          <a:extLst>
            <a:ext uri="{FF2B5EF4-FFF2-40B4-BE49-F238E27FC236}">
              <a16:creationId xmlns:a16="http://schemas.microsoft.com/office/drawing/2014/main" id="{398C0613-94CA-D700-1190-76E039C7B5BD}"/>
            </a:ext>
          </a:extLst>
        </xdr:cNvPr>
        <xdr:cNvSpPr txBox="1"/>
      </xdr:nvSpPr>
      <xdr:spPr>
        <a:xfrm>
          <a:off x="3371850" y="635000"/>
          <a:ext cx="1073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TOTAL PROFIT</a:t>
          </a:r>
          <a:endParaRPr lang="en-PK" sz="1100">
            <a:solidFill>
              <a:schemeClr val="bg1"/>
            </a:solidFill>
          </a:endParaRPr>
        </a:p>
      </xdr:txBody>
    </xdr:sp>
    <xdr:clientData/>
  </xdr:twoCellAnchor>
  <xdr:twoCellAnchor>
    <xdr:from>
      <xdr:col>8</xdr:col>
      <xdr:colOff>165100</xdr:colOff>
      <xdr:row>4</xdr:row>
      <xdr:rowOff>82550</xdr:rowOff>
    </xdr:from>
    <xdr:to>
      <xdr:col>9</xdr:col>
      <xdr:colOff>476250</xdr:colOff>
      <xdr:row>5</xdr:row>
      <xdr:rowOff>127000</xdr:rowOff>
    </xdr:to>
    <xdr:sp macro="" textlink="PIVOT!A14">
      <xdr:nvSpPr>
        <xdr:cNvPr id="25" name="TextBox 24">
          <a:extLst>
            <a:ext uri="{FF2B5EF4-FFF2-40B4-BE49-F238E27FC236}">
              <a16:creationId xmlns:a16="http://schemas.microsoft.com/office/drawing/2014/main" id="{7DB367D8-6029-F520-99A4-FD844D04AA36}"/>
            </a:ext>
          </a:extLst>
        </xdr:cNvPr>
        <xdr:cNvSpPr txBox="1"/>
      </xdr:nvSpPr>
      <xdr:spPr>
        <a:xfrm>
          <a:off x="5041900" y="450850"/>
          <a:ext cx="9207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A76D80-03A5-4206-AEA8-F98005FADDB7}" type="TxLink">
            <a:rPr lang="en-US" sz="1100" b="0" i="0" u="none" strike="noStrike">
              <a:solidFill>
                <a:schemeClr val="bg1"/>
              </a:solidFill>
              <a:latin typeface="Aptos Narrow"/>
            </a:rPr>
            <a:pPr algn="ctr"/>
            <a:t>99</a:t>
          </a:fld>
          <a:endParaRPr lang="en-PK" sz="1100">
            <a:solidFill>
              <a:schemeClr val="bg1"/>
            </a:solidFill>
          </a:endParaRPr>
        </a:p>
      </xdr:txBody>
    </xdr:sp>
    <xdr:clientData/>
  </xdr:twoCellAnchor>
  <xdr:twoCellAnchor>
    <xdr:from>
      <xdr:col>8</xdr:col>
      <xdr:colOff>25400</xdr:colOff>
      <xdr:row>5</xdr:row>
      <xdr:rowOff>82550</xdr:rowOff>
    </xdr:from>
    <xdr:to>
      <xdr:col>9</xdr:col>
      <xdr:colOff>590550</xdr:colOff>
      <xdr:row>6</xdr:row>
      <xdr:rowOff>133350</xdr:rowOff>
    </xdr:to>
    <xdr:sp macro="" textlink="">
      <xdr:nvSpPr>
        <xdr:cNvPr id="26" name="TextBox 25">
          <a:extLst>
            <a:ext uri="{FF2B5EF4-FFF2-40B4-BE49-F238E27FC236}">
              <a16:creationId xmlns:a16="http://schemas.microsoft.com/office/drawing/2014/main" id="{8EFEE688-61FA-21C2-F104-5479678DD578}"/>
            </a:ext>
          </a:extLst>
        </xdr:cNvPr>
        <xdr:cNvSpPr txBox="1"/>
      </xdr:nvSpPr>
      <xdr:spPr>
        <a:xfrm>
          <a:off x="4902200" y="635000"/>
          <a:ext cx="11747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TOTAL QUANTITY</a:t>
          </a:r>
          <a:endParaRPr lang="en-PK" sz="1100">
            <a:solidFill>
              <a:schemeClr val="bg1"/>
            </a:solidFill>
          </a:endParaRPr>
        </a:p>
      </xdr:txBody>
    </xdr:sp>
    <xdr:clientData/>
  </xdr:twoCellAnchor>
  <xdr:twoCellAnchor>
    <xdr:from>
      <xdr:col>10</xdr:col>
      <xdr:colOff>438150</xdr:colOff>
      <xdr:row>4</xdr:row>
      <xdr:rowOff>114300</xdr:rowOff>
    </xdr:from>
    <xdr:to>
      <xdr:col>12</xdr:col>
      <xdr:colOff>139700</xdr:colOff>
      <xdr:row>5</xdr:row>
      <xdr:rowOff>158750</xdr:rowOff>
    </xdr:to>
    <xdr:sp macro="" textlink="PIVOT!A18">
      <xdr:nvSpPr>
        <xdr:cNvPr id="27" name="TextBox 26">
          <a:extLst>
            <a:ext uri="{FF2B5EF4-FFF2-40B4-BE49-F238E27FC236}">
              <a16:creationId xmlns:a16="http://schemas.microsoft.com/office/drawing/2014/main" id="{2DC23DC1-ED3B-DC58-E81C-3BB3AC67A6F0}"/>
            </a:ext>
          </a:extLst>
        </xdr:cNvPr>
        <xdr:cNvSpPr txBox="1"/>
      </xdr:nvSpPr>
      <xdr:spPr>
        <a:xfrm>
          <a:off x="6534150" y="482600"/>
          <a:ext cx="9207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ABDDFD-63A5-4631-A355-09142D3D9D61}" type="TxLink">
            <a:rPr lang="en-US" sz="1100" b="0" i="0" u="none" strike="noStrike">
              <a:solidFill>
                <a:schemeClr val="bg1"/>
              </a:solidFill>
              <a:latin typeface="Aptos Narrow"/>
            </a:rPr>
            <a:pPr algn="ctr"/>
            <a:t>23</a:t>
          </a:fld>
          <a:endParaRPr lang="en-PK" sz="1100">
            <a:solidFill>
              <a:schemeClr val="bg1"/>
            </a:solidFill>
          </a:endParaRPr>
        </a:p>
      </xdr:txBody>
    </xdr:sp>
    <xdr:clientData/>
  </xdr:twoCellAnchor>
  <xdr:twoCellAnchor>
    <xdr:from>
      <xdr:col>10</xdr:col>
      <xdr:colOff>152400</xdr:colOff>
      <xdr:row>5</xdr:row>
      <xdr:rowOff>88900</xdr:rowOff>
    </xdr:from>
    <xdr:to>
      <xdr:col>12</xdr:col>
      <xdr:colOff>501650</xdr:colOff>
      <xdr:row>6</xdr:row>
      <xdr:rowOff>146050</xdr:rowOff>
    </xdr:to>
    <xdr:sp macro="" textlink="">
      <xdr:nvSpPr>
        <xdr:cNvPr id="30" name="TextBox 29">
          <a:extLst>
            <a:ext uri="{FF2B5EF4-FFF2-40B4-BE49-F238E27FC236}">
              <a16:creationId xmlns:a16="http://schemas.microsoft.com/office/drawing/2014/main" id="{756EA729-AE87-58B6-55E0-5855FEFB6DC6}"/>
            </a:ext>
          </a:extLst>
        </xdr:cNvPr>
        <xdr:cNvSpPr txBox="1"/>
      </xdr:nvSpPr>
      <xdr:spPr>
        <a:xfrm>
          <a:off x="6248400" y="641350"/>
          <a:ext cx="15684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TOTAL TRANSACTIONS</a:t>
          </a:r>
          <a:endParaRPr lang="en-PK" sz="1100">
            <a:solidFill>
              <a:schemeClr val="bg1"/>
            </a:solidFill>
          </a:endParaRPr>
        </a:p>
      </xdr:txBody>
    </xdr:sp>
    <xdr:clientData/>
  </xdr:twoCellAnchor>
  <xdr:twoCellAnchor>
    <xdr:from>
      <xdr:col>2</xdr:col>
      <xdr:colOff>469900</xdr:colOff>
      <xdr:row>5</xdr:row>
      <xdr:rowOff>101600</xdr:rowOff>
    </xdr:from>
    <xdr:to>
      <xdr:col>4</xdr:col>
      <xdr:colOff>488950</xdr:colOff>
      <xdr:row>8</xdr:row>
      <xdr:rowOff>158750</xdr:rowOff>
    </xdr:to>
    <xdr:graphicFrame macro="">
      <xdr:nvGraphicFramePr>
        <xdr:cNvPr id="31" name="Chart 30">
          <a:hlinkClick xmlns:r="http://schemas.openxmlformats.org/officeDocument/2006/relationships" r:id="rId1"/>
          <a:extLst>
            <a:ext uri="{FF2B5EF4-FFF2-40B4-BE49-F238E27FC236}">
              <a16:creationId xmlns:a16="http://schemas.microsoft.com/office/drawing/2014/main" id="{862664DE-CF10-457C-A2D4-25A80C206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133350</xdr:colOff>
      <xdr:row>5</xdr:row>
      <xdr:rowOff>31750</xdr:rowOff>
    </xdr:from>
    <xdr:to>
      <xdr:col>7</xdr:col>
      <xdr:colOff>273050</xdr:colOff>
      <xdr:row>9</xdr:row>
      <xdr:rowOff>57150</xdr:rowOff>
    </xdr:to>
    <xdr:graphicFrame macro="">
      <xdr:nvGraphicFramePr>
        <xdr:cNvPr id="32" name="Chart 31">
          <a:hlinkClick xmlns:r="http://schemas.openxmlformats.org/officeDocument/2006/relationships" r:id="rId3"/>
          <a:extLst>
            <a:ext uri="{FF2B5EF4-FFF2-40B4-BE49-F238E27FC236}">
              <a16:creationId xmlns:a16="http://schemas.microsoft.com/office/drawing/2014/main" id="{18F1CE8B-6265-4637-8F83-C5A01F5CF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539750</xdr:colOff>
      <xdr:row>5</xdr:row>
      <xdr:rowOff>133350</xdr:rowOff>
    </xdr:from>
    <xdr:to>
      <xdr:col>10</xdr:col>
      <xdr:colOff>146050</xdr:colOff>
      <xdr:row>8</xdr:row>
      <xdr:rowOff>127000</xdr:rowOff>
    </xdr:to>
    <xdr:graphicFrame macro="">
      <xdr:nvGraphicFramePr>
        <xdr:cNvPr id="33" name="Chart 32">
          <a:extLst>
            <a:ext uri="{FF2B5EF4-FFF2-40B4-BE49-F238E27FC236}">
              <a16:creationId xmlns:a16="http://schemas.microsoft.com/office/drawing/2014/main" id="{36A233C2-5DE7-4A3B-8F96-31DFED73B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209550</xdr:colOff>
      <xdr:row>5</xdr:row>
      <xdr:rowOff>158750</xdr:rowOff>
    </xdr:from>
    <xdr:to>
      <xdr:col>12</xdr:col>
      <xdr:colOff>387350</xdr:colOff>
      <xdr:row>9</xdr:row>
      <xdr:rowOff>12700</xdr:rowOff>
    </xdr:to>
    <xdr:graphicFrame macro="">
      <xdr:nvGraphicFramePr>
        <xdr:cNvPr id="34" name="Chart 33">
          <a:hlinkClick xmlns:r="http://schemas.openxmlformats.org/officeDocument/2006/relationships" r:id="rId6"/>
          <a:extLst>
            <a:ext uri="{FF2B5EF4-FFF2-40B4-BE49-F238E27FC236}">
              <a16:creationId xmlns:a16="http://schemas.microsoft.com/office/drawing/2014/main" id="{5E6E32F3-7475-451A-BA3F-911C1614D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381001</xdr:colOff>
      <xdr:row>8</xdr:row>
      <xdr:rowOff>33655</xdr:rowOff>
    </xdr:from>
    <xdr:to>
      <xdr:col>7</xdr:col>
      <xdr:colOff>203201</xdr:colOff>
      <xdr:row>17</xdr:row>
      <xdr:rowOff>98425</xdr:rowOff>
    </xdr:to>
    <xdr:graphicFrame macro="">
      <xdr:nvGraphicFramePr>
        <xdr:cNvPr id="35" name="Chart 34">
          <a:extLst>
            <a:ext uri="{FF2B5EF4-FFF2-40B4-BE49-F238E27FC236}">
              <a16:creationId xmlns:a16="http://schemas.microsoft.com/office/drawing/2014/main" id="{645D440C-0BC8-4C3A-BE42-5C8E88F72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82551</xdr:colOff>
      <xdr:row>9</xdr:row>
      <xdr:rowOff>73025</xdr:rowOff>
    </xdr:from>
    <xdr:to>
      <xdr:col>12</xdr:col>
      <xdr:colOff>171451</xdr:colOff>
      <xdr:row>17</xdr:row>
      <xdr:rowOff>6350</xdr:rowOff>
    </xdr:to>
    <xdr:graphicFrame macro="">
      <xdr:nvGraphicFramePr>
        <xdr:cNvPr id="37" name="Chart 36">
          <a:extLst>
            <a:ext uri="{FF2B5EF4-FFF2-40B4-BE49-F238E27FC236}">
              <a16:creationId xmlns:a16="http://schemas.microsoft.com/office/drawing/2014/main" id="{22970FC0-B381-487B-AC92-72A2E2F2B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82550</xdr:colOff>
      <xdr:row>16</xdr:row>
      <xdr:rowOff>0</xdr:rowOff>
    </xdr:from>
    <xdr:to>
      <xdr:col>6</xdr:col>
      <xdr:colOff>457200</xdr:colOff>
      <xdr:row>17</xdr:row>
      <xdr:rowOff>82550</xdr:rowOff>
    </xdr:to>
    <xdr:sp macro="" textlink="">
      <xdr:nvSpPr>
        <xdr:cNvPr id="38" name="TextBox 37">
          <a:extLst>
            <a:ext uri="{FF2B5EF4-FFF2-40B4-BE49-F238E27FC236}">
              <a16:creationId xmlns:a16="http://schemas.microsoft.com/office/drawing/2014/main" id="{A9FEC78E-23FF-4527-490D-1FB9F9CA6A4E}"/>
            </a:ext>
          </a:extLst>
        </xdr:cNvPr>
        <xdr:cNvSpPr txBox="1"/>
      </xdr:nvSpPr>
      <xdr:spPr>
        <a:xfrm>
          <a:off x="1911350" y="2578100"/>
          <a:ext cx="2203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CATEGORY WISE SALES ANALYSIS</a:t>
          </a:r>
          <a:endParaRPr lang="en-PK" sz="1100">
            <a:solidFill>
              <a:schemeClr val="bg1"/>
            </a:solidFill>
          </a:endParaRPr>
        </a:p>
      </xdr:txBody>
    </xdr:sp>
    <xdr:clientData/>
  </xdr:twoCellAnchor>
  <xdr:twoCellAnchor>
    <xdr:from>
      <xdr:col>8</xdr:col>
      <xdr:colOff>603250</xdr:colOff>
      <xdr:row>16</xdr:row>
      <xdr:rowOff>19050</xdr:rowOff>
    </xdr:from>
    <xdr:to>
      <xdr:col>11</xdr:col>
      <xdr:colOff>152400</xdr:colOff>
      <xdr:row>17</xdr:row>
      <xdr:rowOff>107950</xdr:rowOff>
    </xdr:to>
    <xdr:sp macro="" textlink="">
      <xdr:nvSpPr>
        <xdr:cNvPr id="39" name="TextBox 38">
          <a:extLst>
            <a:ext uri="{FF2B5EF4-FFF2-40B4-BE49-F238E27FC236}">
              <a16:creationId xmlns:a16="http://schemas.microsoft.com/office/drawing/2014/main" id="{EF8D8E84-7527-C34F-F258-BD6ABF7739BC}"/>
            </a:ext>
          </a:extLst>
        </xdr:cNvPr>
        <xdr:cNvSpPr txBox="1"/>
      </xdr:nvSpPr>
      <xdr:spPr>
        <a:xfrm>
          <a:off x="5480050" y="2597150"/>
          <a:ext cx="13779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TOP TEN</a:t>
          </a:r>
          <a:r>
            <a:rPr lang="en-US" sz="1100" baseline="0">
              <a:solidFill>
                <a:schemeClr val="bg1"/>
              </a:solidFill>
            </a:rPr>
            <a:t> CUSTOMER</a:t>
          </a:r>
          <a:endParaRPr lang="en-PK" sz="1100">
            <a:solidFill>
              <a:schemeClr val="bg1"/>
            </a:solidFill>
          </a:endParaRPr>
        </a:p>
      </xdr:txBody>
    </xdr:sp>
    <xdr:clientData/>
  </xdr:twoCellAnchor>
  <xdr:twoCellAnchor editAs="oneCell">
    <xdr:from>
      <xdr:col>9</xdr:col>
      <xdr:colOff>419100</xdr:colOff>
      <xdr:row>4</xdr:row>
      <xdr:rowOff>76200</xdr:rowOff>
    </xdr:from>
    <xdr:to>
      <xdr:col>10</xdr:col>
      <xdr:colOff>76200</xdr:colOff>
      <xdr:row>5</xdr:row>
      <xdr:rowOff>158750</xdr:rowOff>
    </xdr:to>
    <xdr:pic>
      <xdr:nvPicPr>
        <xdr:cNvPr id="41" name="Graphic 40" descr="Hourglass Finished with solid fill">
          <a:extLst>
            <a:ext uri="{FF2B5EF4-FFF2-40B4-BE49-F238E27FC236}">
              <a16:creationId xmlns:a16="http://schemas.microsoft.com/office/drawing/2014/main" id="{3F6B7E9D-13FC-8404-6130-1B3419FC76D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10800000">
          <a:off x="5905500" y="444500"/>
          <a:ext cx="266700" cy="266700"/>
        </a:xfrm>
        <a:prstGeom prst="rect">
          <a:avLst/>
        </a:prstGeom>
      </xdr:spPr>
    </xdr:pic>
    <xdr:clientData/>
  </xdr:twoCellAnchor>
  <xdr:twoCellAnchor editAs="oneCell">
    <xdr:from>
      <xdr:col>7</xdr:col>
      <xdr:colOff>44451</xdr:colOff>
      <xdr:row>4</xdr:row>
      <xdr:rowOff>88900</xdr:rowOff>
    </xdr:from>
    <xdr:to>
      <xdr:col>7</xdr:col>
      <xdr:colOff>304801</xdr:colOff>
      <xdr:row>5</xdr:row>
      <xdr:rowOff>165100</xdr:rowOff>
    </xdr:to>
    <xdr:pic>
      <xdr:nvPicPr>
        <xdr:cNvPr id="43" name="Graphic 42" descr="Bar graph with upward trend with solid fill">
          <a:extLst>
            <a:ext uri="{FF2B5EF4-FFF2-40B4-BE49-F238E27FC236}">
              <a16:creationId xmlns:a16="http://schemas.microsoft.com/office/drawing/2014/main" id="{ECC1D512-019A-1DE6-DA35-B71CE364427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0800000" flipV="1">
          <a:off x="4311651" y="457200"/>
          <a:ext cx="260350" cy="260350"/>
        </a:xfrm>
        <a:prstGeom prst="rect">
          <a:avLst/>
        </a:prstGeom>
      </xdr:spPr>
    </xdr:pic>
    <xdr:clientData/>
  </xdr:twoCellAnchor>
  <xdr:twoCellAnchor editAs="oneCell">
    <xdr:from>
      <xdr:col>4</xdr:col>
      <xdr:colOff>285751</xdr:colOff>
      <xdr:row>4</xdr:row>
      <xdr:rowOff>101600</xdr:rowOff>
    </xdr:from>
    <xdr:to>
      <xdr:col>4</xdr:col>
      <xdr:colOff>546101</xdr:colOff>
      <xdr:row>5</xdr:row>
      <xdr:rowOff>177800</xdr:rowOff>
    </xdr:to>
    <xdr:pic>
      <xdr:nvPicPr>
        <xdr:cNvPr id="44" name="Graphic 43" descr="Bar graph with upward trend with solid fill">
          <a:extLst>
            <a:ext uri="{FF2B5EF4-FFF2-40B4-BE49-F238E27FC236}">
              <a16:creationId xmlns:a16="http://schemas.microsoft.com/office/drawing/2014/main" id="{D613B456-B12E-4331-3101-DF3D4EF9B35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0800000" flipV="1">
          <a:off x="2724151" y="469900"/>
          <a:ext cx="260350" cy="260350"/>
        </a:xfrm>
        <a:prstGeom prst="rect">
          <a:avLst/>
        </a:prstGeom>
      </xdr:spPr>
    </xdr:pic>
    <xdr:clientData/>
  </xdr:twoCellAnchor>
  <xdr:twoCellAnchor editAs="oneCell">
    <xdr:from>
      <xdr:col>12</xdr:col>
      <xdr:colOff>25400</xdr:colOff>
      <xdr:row>4</xdr:row>
      <xdr:rowOff>44450</xdr:rowOff>
    </xdr:from>
    <xdr:to>
      <xdr:col>12</xdr:col>
      <xdr:colOff>361950</xdr:colOff>
      <xdr:row>6</xdr:row>
      <xdr:rowOff>12701</xdr:rowOff>
    </xdr:to>
    <xdr:pic>
      <xdr:nvPicPr>
        <xdr:cNvPr id="46" name="Graphic 45" descr="Connections with solid fill">
          <a:extLst>
            <a:ext uri="{FF2B5EF4-FFF2-40B4-BE49-F238E27FC236}">
              <a16:creationId xmlns:a16="http://schemas.microsoft.com/office/drawing/2014/main" id="{2F749886-1B01-F552-CE14-E37B6D7BAAC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340600" y="412750"/>
          <a:ext cx="336550" cy="336550"/>
        </a:xfrm>
        <a:prstGeom prst="rect">
          <a:avLst/>
        </a:prstGeom>
      </xdr:spPr>
    </xdr:pic>
    <xdr:clientData/>
  </xdr:twoCellAnchor>
  <xdr:twoCellAnchor>
    <xdr:from>
      <xdr:col>3</xdr:col>
      <xdr:colOff>6350</xdr:colOff>
      <xdr:row>17</xdr:row>
      <xdr:rowOff>50803</xdr:rowOff>
    </xdr:from>
    <xdr:to>
      <xdr:col>7</xdr:col>
      <xdr:colOff>222250</xdr:colOff>
      <xdr:row>25</xdr:row>
      <xdr:rowOff>50802</xdr:rowOff>
    </xdr:to>
    <xdr:graphicFrame macro="">
      <xdr:nvGraphicFramePr>
        <xdr:cNvPr id="3" name="Chart 2">
          <a:extLst>
            <a:ext uri="{FF2B5EF4-FFF2-40B4-BE49-F238E27FC236}">
              <a16:creationId xmlns:a16="http://schemas.microsoft.com/office/drawing/2014/main" id="{E6E2FEF1-0667-4B46-AE9A-60030EF77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567764</xdr:colOff>
      <xdr:row>26</xdr:row>
      <xdr:rowOff>44822</xdr:rowOff>
    </xdr:from>
    <xdr:to>
      <xdr:col>8</xdr:col>
      <xdr:colOff>605117</xdr:colOff>
      <xdr:row>28</xdr:row>
      <xdr:rowOff>166741</xdr:rowOff>
    </xdr:to>
    <xdr:graphicFrame macro="">
      <xdr:nvGraphicFramePr>
        <xdr:cNvPr id="10" name="Chart 9">
          <a:extLst>
            <a:ext uri="{FF2B5EF4-FFF2-40B4-BE49-F238E27FC236}">
              <a16:creationId xmlns:a16="http://schemas.microsoft.com/office/drawing/2014/main" id="{F731D28A-0C92-47C0-A478-DD57B3B71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7471</xdr:colOff>
      <xdr:row>0</xdr:row>
      <xdr:rowOff>82166</xdr:rowOff>
    </xdr:from>
    <xdr:to>
      <xdr:col>2</xdr:col>
      <xdr:colOff>134471</xdr:colOff>
      <xdr:row>7</xdr:row>
      <xdr:rowOff>101963</xdr:rowOff>
    </xdr:to>
    <mc:AlternateContent xmlns:mc="http://schemas.openxmlformats.org/markup-compatibility/2006" xmlns:a14="http://schemas.microsoft.com/office/drawing/2010/main">
      <mc:Choice Requires="a14">
        <xdr:graphicFrame macro="">
          <xdr:nvGraphicFramePr>
            <xdr:cNvPr id="18" name="Order Date (Year)">
              <a:extLst>
                <a:ext uri="{FF2B5EF4-FFF2-40B4-BE49-F238E27FC236}">
                  <a16:creationId xmlns:a16="http://schemas.microsoft.com/office/drawing/2014/main" id="{A5A5E7F3-0431-4880-8D1B-28BB299B03CF}"/>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7471" y="82166"/>
              <a:ext cx="1344083" cy="131625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14569</xdr:rowOff>
    </xdr:from>
    <xdr:to>
      <xdr:col>2</xdr:col>
      <xdr:colOff>194236</xdr:colOff>
      <xdr:row>17</xdr:row>
      <xdr:rowOff>82178</xdr:rowOff>
    </xdr:to>
    <mc:AlternateContent xmlns:mc="http://schemas.openxmlformats.org/markup-compatibility/2006" xmlns:a14="http://schemas.microsoft.com/office/drawing/2010/main">
      <mc:Choice Requires="a14">
        <xdr:graphicFrame macro="">
          <xdr:nvGraphicFramePr>
            <xdr:cNvPr id="20" name="Order Date (Month)">
              <a:extLst>
                <a:ext uri="{FF2B5EF4-FFF2-40B4-BE49-F238E27FC236}">
                  <a16:creationId xmlns:a16="http://schemas.microsoft.com/office/drawing/2014/main" id="{47BB6EC3-86E3-4647-BC5C-93BC6F12414D}"/>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0" y="1311027"/>
              <a:ext cx="1411319" cy="191969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7470</xdr:colOff>
      <xdr:row>16</xdr:row>
      <xdr:rowOff>125137</xdr:rowOff>
    </xdr:from>
    <xdr:to>
      <xdr:col>2</xdr:col>
      <xdr:colOff>171823</xdr:colOff>
      <xdr:row>24</xdr:row>
      <xdr:rowOff>112060</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A7E85FA0-887A-4B5D-B738-ABAF35C6F5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70" y="3088470"/>
              <a:ext cx="1381436" cy="146859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22417</xdr:colOff>
      <xdr:row>17</xdr:row>
      <xdr:rowOff>29879</xdr:rowOff>
    </xdr:from>
    <xdr:to>
      <xdr:col>12</xdr:col>
      <xdr:colOff>508006</xdr:colOff>
      <xdr:row>24</xdr:row>
      <xdr:rowOff>21436</xdr:rowOff>
    </xdr:to>
    <xdr:graphicFrame macro="">
      <xdr:nvGraphicFramePr>
        <xdr:cNvPr id="28" name="Chart 27">
          <a:extLst>
            <a:ext uri="{FF2B5EF4-FFF2-40B4-BE49-F238E27FC236}">
              <a16:creationId xmlns:a16="http://schemas.microsoft.com/office/drawing/2014/main" id="{341E7773-017F-468F-AE31-0C26101D4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82183</xdr:colOff>
      <xdr:row>23</xdr:row>
      <xdr:rowOff>112065</xdr:rowOff>
    </xdr:from>
    <xdr:to>
      <xdr:col>12</xdr:col>
      <xdr:colOff>343654</xdr:colOff>
      <xdr:row>26</xdr:row>
      <xdr:rowOff>59771</xdr:rowOff>
    </xdr:to>
    <xdr:sp macro="" textlink="">
      <xdr:nvSpPr>
        <xdr:cNvPr id="29" name="TextBox 28">
          <a:extLst>
            <a:ext uri="{FF2B5EF4-FFF2-40B4-BE49-F238E27FC236}">
              <a16:creationId xmlns:a16="http://schemas.microsoft.com/office/drawing/2014/main" id="{16F463C5-9A8A-4301-BB44-C63FA8A5088C}"/>
            </a:ext>
          </a:extLst>
        </xdr:cNvPr>
        <xdr:cNvSpPr txBox="1"/>
      </xdr:nvSpPr>
      <xdr:spPr>
        <a:xfrm>
          <a:off x="4982889" y="4407653"/>
          <a:ext cx="2711824"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PRODUCT NAME WISE</a:t>
          </a:r>
          <a:r>
            <a:rPr lang="en-US" sz="1100" baseline="0">
              <a:solidFill>
                <a:schemeClr val="bg1"/>
              </a:solidFill>
            </a:rPr>
            <a:t> SALE AND DISCOUNT</a:t>
          </a:r>
          <a:endParaRPr lang="en-PK" sz="1100">
            <a:solidFill>
              <a:schemeClr val="bg1"/>
            </a:solidFill>
          </a:endParaRPr>
        </a:p>
      </xdr:txBody>
    </xdr:sp>
    <xdr:clientData/>
  </xdr:twoCellAnchor>
  <xdr:twoCellAnchor>
    <xdr:from>
      <xdr:col>3</xdr:col>
      <xdr:colOff>82176</xdr:colOff>
      <xdr:row>1</xdr:row>
      <xdr:rowOff>97115</xdr:rowOff>
    </xdr:from>
    <xdr:to>
      <xdr:col>11</xdr:col>
      <xdr:colOff>485588</xdr:colOff>
      <xdr:row>3</xdr:row>
      <xdr:rowOff>112056</xdr:rowOff>
    </xdr:to>
    <xdr:sp macro="" textlink="">
      <xdr:nvSpPr>
        <xdr:cNvPr id="40" name="TextBox 39">
          <a:extLst>
            <a:ext uri="{FF2B5EF4-FFF2-40B4-BE49-F238E27FC236}">
              <a16:creationId xmlns:a16="http://schemas.microsoft.com/office/drawing/2014/main" id="{89EDC0B1-6331-B67C-8316-B3B0007C3F04}"/>
            </a:ext>
          </a:extLst>
        </xdr:cNvPr>
        <xdr:cNvSpPr txBox="1"/>
      </xdr:nvSpPr>
      <xdr:spPr>
        <a:xfrm>
          <a:off x="1919941" y="283880"/>
          <a:ext cx="5304118" cy="38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Retail Sales Performance Dashboard</a:t>
          </a:r>
          <a:endParaRPr lang="en-PK" sz="20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457200</xdr:colOff>
      <xdr:row>15</xdr:row>
      <xdr:rowOff>88900</xdr:rowOff>
    </xdr:to>
    <xdr:graphicFrame macro="">
      <xdr:nvGraphicFramePr>
        <xdr:cNvPr id="2" name="Chart 1">
          <a:extLst>
            <a:ext uri="{FF2B5EF4-FFF2-40B4-BE49-F238E27FC236}">
              <a16:creationId xmlns:a16="http://schemas.microsoft.com/office/drawing/2014/main" id="{425EB087-5C95-4DA7-A8D1-1129727EB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0.0155</cdr:x>
      <cdr:y>0.01782</cdr:y>
    </cdr:from>
    <cdr:to>
      <cdr:x>0.13275</cdr:x>
      <cdr:y>0.28731</cdr:y>
    </cdr:to>
    <cdr:pic>
      <cdr:nvPicPr>
        <cdr:cNvPr id="3" name="Graphic 2" descr="Bac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0FFF24E-1A98-A2C8-3CC8-76CD624FFA7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1600" y="50800"/>
          <a:ext cx="768350" cy="76835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469900</xdr:colOff>
      <xdr:row>16</xdr:row>
      <xdr:rowOff>63500</xdr:rowOff>
    </xdr:to>
    <xdr:graphicFrame macro="">
      <xdr:nvGraphicFramePr>
        <xdr:cNvPr id="2" name="Chart 1">
          <a:extLst>
            <a:ext uri="{FF2B5EF4-FFF2-40B4-BE49-F238E27FC236}">
              <a16:creationId xmlns:a16="http://schemas.microsoft.com/office/drawing/2014/main" id="{D61913DA-3ABD-4F17-86F6-CFA360DC3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0.00594</cdr:x>
      <cdr:y>0.02743</cdr:y>
    </cdr:from>
    <cdr:to>
      <cdr:x>0.16746</cdr:x>
      <cdr:y>0.31435</cdr:y>
    </cdr:to>
    <cdr:pic>
      <cdr:nvPicPr>
        <cdr:cNvPr id="3" name="Graphic 2" descr="Bac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6E6739F-AF72-D079-C8AD-5CC2ED1ED23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1750" y="82550"/>
          <a:ext cx="863600" cy="8636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165100</xdr:rowOff>
    </xdr:to>
    <xdr:graphicFrame macro="">
      <xdr:nvGraphicFramePr>
        <xdr:cNvPr id="2" name="Chart 1">
          <a:extLst>
            <a:ext uri="{FF2B5EF4-FFF2-40B4-BE49-F238E27FC236}">
              <a16:creationId xmlns:a16="http://schemas.microsoft.com/office/drawing/2014/main" id="{619850A2-0F8D-48EF-9AFC-6B3A6AEE2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304800</xdr:colOff>
      <xdr:row>4</xdr:row>
      <xdr:rowOff>177800</xdr:rowOff>
    </xdr:to>
    <xdr:pic>
      <xdr:nvPicPr>
        <xdr:cNvPr id="4" name="Graphic 3" descr="Back with solid fill">
          <a:hlinkClick xmlns:r="http://schemas.openxmlformats.org/officeDocument/2006/relationships" r:id="rId2"/>
          <a:extLst>
            <a:ext uri="{FF2B5EF4-FFF2-40B4-BE49-F238E27FC236}">
              <a16:creationId xmlns:a16="http://schemas.microsoft.com/office/drawing/2014/main" id="{F01A886A-86F6-372D-6DB4-44786FFCCF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914400" cy="914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596900</xdr:colOff>
      <xdr:row>17</xdr:row>
      <xdr:rowOff>31750</xdr:rowOff>
    </xdr:to>
    <xdr:graphicFrame macro="">
      <xdr:nvGraphicFramePr>
        <xdr:cNvPr id="2" name="Chart 1">
          <a:extLst>
            <a:ext uri="{FF2B5EF4-FFF2-40B4-BE49-F238E27FC236}">
              <a16:creationId xmlns:a16="http://schemas.microsoft.com/office/drawing/2014/main" id="{04361FCC-CECD-4FD2-87E3-1D0EC2617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0.00653</cdr:x>
      <cdr:y>0.01493</cdr:y>
    </cdr:from>
    <cdr:to>
      <cdr:x>0.1906</cdr:x>
      <cdr:y>0.31557</cdr:y>
    </cdr:to>
    <cdr:pic>
      <cdr:nvPicPr>
        <cdr:cNvPr id="3" name="Graphic 2" descr="Bac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5418649-046F-7997-0CD8-A67BABEC7E2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1750" y="44450"/>
          <a:ext cx="895350" cy="8953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15509261" createdVersion="5" refreshedVersion="8" minRefreshableVersion="3" recordCount="0" supportSubquery="1" supportAdvancedDrill="1" xr:uid="{5FED523E-0F40-45C2-BB75-21B741672F7B}">
  <cacheSource type="external" connectionId="2"/>
  <cacheFields count="4">
    <cacheField name="[Measures].[Sum of Sales]" caption="Sum of Sales" numFmtId="0" hierarchy="35" level="32767"/>
    <cacheField name="[Retails Order Full Dataset].[Order Date (Day)].[Order Date (Day)]" caption="Order Date (Day)" numFmtId="0" hierarchy="24" level="1">
      <sharedItems count="16">
        <s v="3-Feb"/>
        <s v="4-Feb"/>
        <s v="5-Feb"/>
        <s v="7-Feb"/>
        <s v="8-Feb"/>
        <s v="10-Feb"/>
        <s v="14-Feb"/>
        <s v="15-Feb"/>
        <s v="16-Feb"/>
        <s v="17-Feb"/>
        <s v="18-Feb"/>
        <s v="20-Feb"/>
        <s v="21-Feb"/>
        <s v="22-Feb"/>
        <s v="23-Feb"/>
        <s v="25-Feb"/>
      </sharedItems>
    </cacheField>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3"/>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2"/>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2" memberValueDatatype="130" unbalanced="0">
      <fieldsUsage count="2">
        <fieldUsage x="-1"/>
        <fieldUsage x="1"/>
      </fieldsUsage>
    </cacheHierarchy>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16435185" createdVersion="5" refreshedVersion="8" minRefreshableVersion="3" recordCount="0" supportSubquery="1" supportAdvancedDrill="1" xr:uid="{4B3B323A-B686-4605-B1A1-904270CD42B3}">
  <cacheSource type="external" connectionId="2"/>
  <cacheFields count="4">
    <cacheField name="[Measures].[Sum of Sales]" caption="Sum of Sales" numFmtId="0" hierarchy="35" level="32767"/>
    <cacheField name="[Retails Order Full Dataset].[Segment].[Segment]" caption="Segment" numFmtId="0" hierarchy="6" level="1">
      <sharedItems count="3">
        <s v="Consumer"/>
        <s v="Corporate"/>
        <s v="Home Office"/>
      </sharedItems>
    </cacheField>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2" memberValueDatatype="130" unbalanced="0">
      <fieldsUsage count="2">
        <fieldUsage x="-1"/>
        <fieldUsage x="1"/>
      </fieldsUsage>
    </cacheHierarchy>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3"/>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2"/>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17129632" createdVersion="5" refreshedVersion="8" minRefreshableVersion="3" recordCount="0" supportSubquery="1" supportAdvancedDrill="1" xr:uid="{459C067E-E9BA-4C0F-A9E8-FA7D99D0CD91}">
  <cacheSource type="external" connectionId="2"/>
  <cacheFields count="4">
    <cacheField name="[Measures].[Sum of Sales]" caption="Sum of Sales" numFmtId="0" hierarchy="35" level="32767"/>
    <cacheField name="[Retails Order Full Dataset].[Sub-Category].[Sub-Category]" caption="Sub-Category" numFmtId="0" hierarchy="15" level="1">
      <sharedItems count="11">
        <s v="Accessories"/>
        <s v="Appliances"/>
        <s v="Art"/>
        <s v="Binders"/>
        <s v="Chairs"/>
        <s v="Furnishings"/>
        <s v="Labels"/>
        <s v="Paper"/>
        <s v="Phones"/>
        <s v="Supplies"/>
        <s v="Tables"/>
      </sharedItems>
    </cacheField>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3"/>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2" memberValueDatatype="130" unbalanced="0">
      <fieldsUsage count="2">
        <fieldUsage x="-1"/>
        <fieldUsage x="1"/>
      </fieldsUsage>
    </cacheHierarchy>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2"/>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17824071" createdVersion="5" refreshedVersion="8" minRefreshableVersion="3" recordCount="0" supportSubquery="1" supportAdvancedDrill="1" xr:uid="{BF28C054-4352-4B5C-BBBD-62CDC1DC4950}">
  <cacheSource type="external" connectionId="2"/>
  <cacheFields count="6">
    <cacheField name="[Measures].[Sum of Sales]" caption="Sum of Sales" numFmtId="0" hierarchy="35" level="32767"/>
    <cacheField name="[Retails Order Full Dataset].[Category].[Category]" caption="Category" numFmtId="0" hierarchy="14" level="1">
      <sharedItems count="3">
        <s v="Furniture"/>
        <s v="Office Supplies"/>
        <s v="Technology"/>
      </sharedItems>
    </cacheField>
    <cacheField name="[Measures].[Sum of Quantity]" caption="Sum of Quantity" numFmtId="0" hierarchy="36" level="32767"/>
    <cacheField name="[Measures].[Sum of Profit]" caption="Sum of Profit" numFmtId="0" hierarchy="37" level="32767"/>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5"/>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2" memberValueDatatype="130" unbalanced="0">
      <fieldsUsage count="2">
        <fieldUsage x="-1"/>
        <fieldUsage x="1"/>
      </fieldsUsage>
    </cacheHierarchy>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4"/>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oneField="1" hidden="1">
      <fieldsUsage count="1">
        <fieldUsage x="3"/>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18634256" createdVersion="5" refreshedVersion="8" minRefreshableVersion="3" recordCount="0" supportSubquery="1" supportAdvancedDrill="1" xr:uid="{09C22E68-AE13-48A9-9AB0-0BA714C87B3C}">
  <cacheSource type="external" connectionId="2"/>
  <cacheFields count="4">
    <cacheField name="[Measures].[Sum of Sales]" caption="Sum of Sales" numFmtId="0" hierarchy="35" level="32767"/>
    <cacheField name="[Retails Order Full Dataset].[Customer Name].[Customer Name]" caption="Customer Name" numFmtId="0" hierarchy="5" level="1">
      <sharedItems count="10">
        <s v="Adrian Hane"/>
        <s v="Bryan Davis"/>
        <s v="Denny Joy"/>
        <s v="Erin Ashbrook"/>
        <s v="Julie Kriz"/>
        <s v="Linda Cazamias"/>
        <s v="Paul Van Hugh"/>
        <s v="Penelope Sewall"/>
        <s v="Roland Fjeld"/>
        <s v="Roy Phan"/>
      </sharedItems>
    </cacheField>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2" memberValueDatatype="130" unbalanced="0">
      <fieldsUsage count="2">
        <fieldUsage x="-1"/>
        <fieldUsage x="1"/>
      </fieldsUsage>
    </cacheHierarchy>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3"/>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2"/>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19675926" createdVersion="5" refreshedVersion="8" minRefreshableVersion="3" recordCount="0" supportSubquery="1" supportAdvancedDrill="1" xr:uid="{D7337ACB-865D-4A76-A4CD-671C1ACF6D97}">
  <cacheSource type="external" connectionId="2"/>
  <cacheFields count="6">
    <cacheField name="[Measures].[Sum of Sales]" caption="Sum of Sales" numFmtId="0" hierarchy="35" level="32767"/>
    <cacheField name="[Retails Order Full Dataset].[Customer Name].[Customer Name]" caption="Customer Name" numFmtId="0" hierarchy="5" level="1">
      <sharedItems count="10">
        <s v="Alan Dominguez"/>
        <s v="Bart Watters"/>
        <s v="Grace Kelly"/>
        <s v="Grant Thornton"/>
        <s v="Joseph Holt"/>
        <s v="Laura Armstrong"/>
        <s v="Patrick O'Brill"/>
        <s v="Pete Kriz"/>
        <s v="Tom Ashbrook"/>
        <s v="Tracy Blumstein"/>
      </sharedItems>
    </cacheField>
    <cacheField name="[Retails Order Full Dataset].[Product Name].[Product Name]" caption="Product Name" numFmtId="0" hierarchy="16" level="1">
      <sharedItems count="10">
        <s v="Belkin 5 Outlet SurgeMaster Power Centers"/>
        <s v="Chromcraft 48&quot; x 96&quot; Racetrack Double Pedestal Table"/>
        <s v="Enermax Briskie RF Wireless Keyboard and Mouse Combo"/>
        <s v="GBC Durable Plastic Covers"/>
        <s v="Global Executive Mid-Back Manager's Chair"/>
        <s v="Honeywell Enviracaire Portable Air Cleaner for up to 8 x 10 Room"/>
        <s v="Innergie mMini Combo Duo USB Travel Charging Kit"/>
        <s v="Newell 34"/>
        <s v="Panasonic KP-380BK Classic Electric Pencil Sharpener"/>
        <s v="White Dual Perf Computer Printout Paper, 2700 Sheets, 1 Part, Heavyweight, 20 lbs., 14 7/8 x 11"/>
      </sharedItems>
    </cacheField>
    <cacheField name="[Measures].[Sum of Discount]" caption="Sum of Discount" numFmtId="0" hierarchy="41" level="32767"/>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2" memberValueDatatype="130" unbalanced="0">
      <fieldsUsage count="2">
        <fieldUsage x="-1"/>
        <fieldUsage x="1"/>
      </fieldsUsage>
    </cacheHierarchy>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5"/>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2" memberValueDatatype="130" unbalanced="0">
      <fieldsUsage count="2">
        <fieldUsage x="-1"/>
        <fieldUsage x="2"/>
      </fieldsUsage>
    </cacheHierarchy>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4"/>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060185" createdVersion="5" refreshedVersion="8" minRefreshableVersion="3" recordCount="0" supportSubquery="1" supportAdvancedDrill="1" xr:uid="{638163BB-3902-4354-BDE8-B7560BB58E56}">
  <cacheSource type="external" connectionId="2"/>
  <cacheFields count="4">
    <cacheField name="[Retails Order Full Dataset].[Customer Name].[Customer Name]" caption="Customer Name" numFmtId="0" hierarchy="5" level="1">
      <sharedItems count="10">
        <s v="Alan Dominguez"/>
        <s v="Bart Watters"/>
        <s v="Grace Kelly"/>
        <s v="Grant Thornton"/>
        <s v="Joseph Holt"/>
        <s v="Laura Armstrong"/>
        <s v="Patrick O'Brill"/>
        <s v="Pete Kriz"/>
        <s v="Tom Ashbrook"/>
        <s v="Tracy Blumstein"/>
      </sharedItems>
    </cacheField>
    <cacheField name="[Retails Order Full Dataset].[Region].[Region]" caption="Region" numFmtId="0" hierarchy="11" level="1">
      <sharedItems count="1">
        <s v="Central"/>
      </sharedItems>
    </cacheField>
    <cacheField name="[Measures].[Count of Returned]" caption="Count of Returned" numFmtId="0" hierarchy="39" level="32767"/>
    <cacheField name="[Retails Order Full Dataset].[Order Date (Month)].[Order Date (Month)]" caption="Order Date (Month)" numFmtId="0" hierarchy="23"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2" memberValueDatatype="130" unbalanced="0">
      <fieldsUsage count="2">
        <fieldUsage x="-1"/>
        <fieldUsage x="0"/>
      </fieldsUsage>
    </cacheHierarchy>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1"/>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3"/>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1296296" createdVersion="5" refreshedVersion="8" minRefreshableVersion="3" recordCount="0" supportSubquery="1" supportAdvancedDrill="1" xr:uid="{898B90D5-8B44-42B0-9BC5-837C66C30753}">
  <cacheSource type="external" connectionId="2"/>
  <cacheFields count="5">
    <cacheField name="[Retails Order Full Dataset].[Customer Name].[Customer Name]" caption="Customer Name" numFmtId="0" hierarchy="5" level="1">
      <sharedItems count="10">
        <s v="Alan Dominguez"/>
        <s v="Bart Watters"/>
        <s v="Grace Kelly"/>
        <s v="Grant Thornton"/>
        <s v="Joseph Holt"/>
        <s v="Laura Armstrong"/>
        <s v="Patrick O'Brill"/>
        <s v="Pete Kriz"/>
        <s v="Tom Ashbrook"/>
        <s v="Tracy Blumstein"/>
      </sharedItems>
    </cacheField>
    <cacheField name="[Measures].[Count of Returned]" caption="Count of Returned" numFmtId="0" hierarchy="39" level="32767"/>
    <cacheField name="[Retails Order Full Dataset].[Category].[Category]" caption="Category" numFmtId="0" hierarchy="14" level="1">
      <sharedItems count="3">
        <s v="Furniture"/>
        <s v="Office Supplies"/>
        <s v="Technology"/>
      </sharedItems>
    </cacheField>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2" memberValueDatatype="130" unbalanced="0">
      <fieldsUsage count="2">
        <fieldUsage x="-1"/>
        <fieldUsage x="0"/>
      </fieldsUsage>
    </cacheHierarchy>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4"/>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2" memberValueDatatype="130" unbalanced="0">
      <fieldsUsage count="2">
        <fieldUsage x="-1"/>
        <fieldUsage x="2"/>
      </fieldsUsage>
    </cacheHierarchy>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3"/>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2106481" createdVersion="5" refreshedVersion="8" minRefreshableVersion="3" recordCount="0" supportSubquery="1" supportAdvancedDrill="1" xr:uid="{CAA29CA5-54C2-4B6E-BCE5-C019F1568967}">
  <cacheSource type="external" connectionId="2"/>
  <cacheFields count="6">
    <cacheField name="[Retails Order Full Dataset].[Customer Name].[Customer Name]" caption="Customer Name" numFmtId="0" hierarchy="5" level="1">
      <sharedItems count="10">
        <s v="Alan Dominguez"/>
        <s v="Bart Watters"/>
        <s v="Grace Kelly"/>
        <s v="Grant Thornton"/>
        <s v="Joseph Holt"/>
        <s v="Laura Armstrong"/>
        <s v="Patrick O'Brill"/>
        <s v="Pete Kriz"/>
        <s v="Tom Ashbrook"/>
        <s v="Tracy Blumstein"/>
      </sharedItems>
    </cacheField>
    <cacheField name="[Measures].[Sum of Discount]" caption="Sum of Discount" numFmtId="0" hierarchy="41" level="32767"/>
    <cacheField name="[Measures].[Sum of Profit]" caption="Sum of Profit" numFmtId="0" hierarchy="37" level="32767"/>
    <cacheField name="[Retails Order Full Dataset].[Category].[Category]" caption="Category" numFmtId="0" hierarchy="14" level="1">
      <sharedItems count="3">
        <s v="Furniture"/>
        <s v="Office Supplies"/>
        <s v="Technology"/>
      </sharedItems>
    </cacheField>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2" memberValueDatatype="130" unbalanced="0">
      <fieldsUsage count="2">
        <fieldUsage x="-1"/>
        <fieldUsage x="0"/>
      </fieldsUsage>
    </cacheHierarchy>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5"/>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2" memberValueDatatype="130" unbalanced="0">
      <fieldsUsage count="2">
        <fieldUsage x="-1"/>
        <fieldUsage x="3"/>
      </fieldsUsage>
    </cacheHierarchy>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4"/>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2569443" createdVersion="5" refreshedVersion="8" minRefreshableVersion="3" recordCount="0" supportSubquery="1" supportAdvancedDrill="1" xr:uid="{827E1D8C-79CA-45C9-9F3D-AE0E4DCB46C1}">
  <cacheSource type="external" connectionId="2"/>
  <cacheFields count="3">
    <cacheField name="[Measures].[Sum of Sales]" caption="Sum of Sales" numFmtId="0" hierarchy="35" level="32767"/>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2"/>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1"/>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3032405" createdVersion="5" refreshedVersion="8" minRefreshableVersion="3" recordCount="0" supportSubquery="1" supportAdvancedDrill="1" xr:uid="{ED6FA3DD-55FA-41D8-8BA0-165A6425DAAA}">
  <cacheSource type="external" connectionId="2"/>
  <cacheFields count="3">
    <cacheField name="[Measures].[Sum of Profit]" caption="Sum of Profit" numFmtId="0" hierarchy="37" level="32767"/>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2"/>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1"/>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3495367" createdVersion="5" refreshedVersion="8" minRefreshableVersion="3" recordCount="0" supportSubquery="1" supportAdvancedDrill="1" xr:uid="{12EEC824-D40D-4522-A9CF-FCA6E569CB0C}">
  <cacheSource type="external" connectionId="2"/>
  <cacheFields count="3">
    <cacheField name="[Measures].[Sum of Quantity]" caption="Sum of Quantity" numFmtId="0" hierarchy="36" level="32767"/>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2"/>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1"/>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384259" createdVersion="5" refreshedVersion="8" minRefreshableVersion="3" recordCount="0" supportSubquery="1" supportAdvancedDrill="1" xr:uid="{21947EA1-295F-4434-8046-E14878A07424}">
  <cacheSource type="external" connectionId="2"/>
  <cacheFields count="3">
    <cacheField name="[Measures].[Count of Order Date]" caption="Count of Order Date" numFmtId="0" hierarchy="38" level="32767"/>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2"/>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1"/>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4189813" createdVersion="5" refreshedVersion="8" minRefreshableVersion="3" recordCount="0" supportSubquery="1" supportAdvancedDrill="1" xr:uid="{38F86073-9E19-43ED-9799-9C26C432D444}">
  <cacheSource type="external" connectionId="2"/>
  <cacheFields count="3">
    <cacheField name="[Measures].[Count of Returned]" caption="Count of Returned" numFmtId="0" hierarchy="39" level="32767"/>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2"/>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1"/>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488426" createdVersion="5" refreshedVersion="8" minRefreshableVersion="3" recordCount="0" supportSubquery="1" supportAdvancedDrill="1" xr:uid="{EBB0DEA7-6104-4104-BDE2-4869977649A8}">
  <cacheSource type="external" connectionId="2"/>
  <cacheFields count="4">
    <cacheField name="[Retails Order Full Dataset].[Ship Mode].[Ship Mode]" caption="Ship Mode" numFmtId="0" hierarchy="3" level="1">
      <sharedItems count="4">
        <s v="First Class"/>
        <s v="Same Day"/>
        <s v="Second Class"/>
        <s v="Standard Class"/>
      </sharedItems>
    </cacheField>
    <cacheField name="[Measures].[Sum of Sales]" caption="Sum of Sales" numFmtId="0" hierarchy="35" level="32767"/>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2" memberValueDatatype="130" unbalanced="0">
      <fieldsUsage count="2">
        <fieldUsage x="-1"/>
        <fieldUsage x="0"/>
      </fieldsUsage>
    </cacheHierarchy>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3"/>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2"/>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5578706" createdVersion="5" refreshedVersion="8" minRefreshableVersion="3" recordCount="0" supportSubquery="1" supportAdvancedDrill="1" xr:uid="{5F513D90-821B-42FC-BFBB-1AA1B0677712}">
  <cacheSource type="external" connectionId="2"/>
  <cacheFields count="4">
    <cacheField name="[Measures].[Sum of Sales]" caption="Sum of Sales" numFmtId="0" hierarchy="35" level="32767"/>
    <cacheField name="[Retails Order Full Dataset].[Category].[Category]" caption="Category" numFmtId="0" hierarchy="14" level="1">
      <sharedItems count="3">
        <s v="Furniture"/>
        <s v="Office Supplies"/>
        <s v="Technology"/>
      </sharedItems>
    </cacheField>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3"/>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2" memberValueDatatype="130" unbalanced="0">
      <fieldsUsage count="2">
        <fieldUsage x="-1"/>
        <fieldUsage x="1"/>
      </fieldsUsage>
    </cacheHierarchy>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2"/>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6388892" createdVersion="5" refreshedVersion="8" minRefreshableVersion="3" recordCount="0" supportSubquery="1" supportAdvancedDrill="1" xr:uid="{621999B9-890D-4786-8ABD-50896C0F9CB2}">
  <cacheSource type="external" connectionId="2"/>
  <cacheFields count="4">
    <cacheField name="[Retails Order Full Dataset].[Order Date (Day)].[Order Date (Day)]" caption="Order Date (Day)" numFmtId="0" hierarchy="24" level="1">
      <sharedItems count="16">
        <s v="3-Feb"/>
        <s v="4-Feb"/>
        <s v="5-Feb"/>
        <s v="7-Feb"/>
        <s v="8-Feb"/>
        <s v="10-Feb"/>
        <s v="14-Feb"/>
        <s v="15-Feb"/>
        <s v="16-Feb"/>
        <s v="17-Feb"/>
        <s v="18-Feb"/>
        <s v="20-Feb"/>
        <s v="21-Feb"/>
        <s v="22-Feb"/>
        <s v="23-Feb"/>
        <s v="25-Feb"/>
      </sharedItems>
    </cacheField>
    <cacheField name="[Retails Order Full Dataset].[Order Date (Month)].[Order Date (Month)]" caption="Order Date (Month)" numFmtId="0" hierarchy="23" level="1">
      <sharedItems containsSemiMixedTypes="0" containsNonDate="0" containsString="0"/>
    </cacheField>
    <cacheField name="[Measures].[Sum of Profit]" caption="Sum of Profit" numFmtId="0" hierarchy="37" level="32767"/>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3"/>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1"/>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2" memberValueDatatype="130" unbalanced="0">
      <fieldsUsage count="2">
        <fieldUsage x="-1"/>
        <fieldUsage x="0"/>
      </fieldsUsage>
    </cacheHierarchy>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7083331" createdVersion="5" refreshedVersion="8" minRefreshableVersion="3" recordCount="0" supportSubquery="1" supportAdvancedDrill="1" xr:uid="{9A62A949-578A-4131-ADC0-26A8D06737FC}">
  <cacheSource type="external" connectionId="2"/>
  <cacheFields count="4">
    <cacheField name="[Retails Order Full Dataset].[Order Date (Day)].[Order Date (Day)]" caption="Order Date (Day)" numFmtId="0" hierarchy="24" level="1">
      <sharedItems count="16">
        <s v="3-Feb"/>
        <s v="4-Feb"/>
        <s v="5-Feb"/>
        <s v="7-Feb"/>
        <s v="8-Feb"/>
        <s v="10-Feb"/>
        <s v="14-Feb"/>
        <s v="15-Feb"/>
        <s v="16-Feb"/>
        <s v="17-Feb"/>
        <s v="18-Feb"/>
        <s v="20-Feb"/>
        <s v="21-Feb"/>
        <s v="22-Feb"/>
        <s v="23-Feb"/>
        <s v="25-Feb"/>
      </sharedItems>
    </cacheField>
    <cacheField name="[Retails Order Full Dataset].[Order Date (Month)].[Order Date (Month)]" caption="Order Date (Month)" numFmtId="0" hierarchy="23" level="1">
      <sharedItems containsSemiMixedTypes="0" containsNonDate="0" containsString="0"/>
    </cacheField>
    <cacheField name="[Measures].[Sum of Quantity]" caption="Sum of Quantity" numFmtId="0" hierarchy="36" level="32767"/>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3"/>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1"/>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2" memberValueDatatype="130" unbalanced="0">
      <fieldsUsage count="2">
        <fieldUsage x="-1"/>
        <fieldUsage x="0"/>
      </fieldsUsage>
    </cacheHierarchy>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7777777" createdVersion="5" refreshedVersion="8" minRefreshableVersion="3" recordCount="0" supportSubquery="1" supportAdvancedDrill="1" xr:uid="{71C9AD4C-9501-4EA7-BA14-FE2500751889}">
  <cacheSource type="external" connectionId="2"/>
  <cacheFields count="4">
    <cacheField name="[Retails Order Full Dataset].[Order Date (Day)].[Order Date (Day)]" caption="Order Date (Day)" numFmtId="0" hierarchy="24" level="1">
      <sharedItems count="16">
        <s v="3-Feb"/>
        <s v="4-Feb"/>
        <s v="5-Feb"/>
        <s v="7-Feb"/>
        <s v="8-Feb"/>
        <s v="10-Feb"/>
        <s v="14-Feb"/>
        <s v="15-Feb"/>
        <s v="16-Feb"/>
        <s v="17-Feb"/>
        <s v="18-Feb"/>
        <s v="20-Feb"/>
        <s v="21-Feb"/>
        <s v="22-Feb"/>
        <s v="23-Feb"/>
        <s v="25-Feb"/>
      </sharedItems>
    </cacheField>
    <cacheField name="[Retails Order Full Dataset].[Order Date (Month)].[Order Date (Month)]" caption="Order Date (Month)" numFmtId="0" hierarchy="23" level="1">
      <sharedItems containsSemiMixedTypes="0" containsNonDate="0" containsString="0"/>
    </cacheField>
    <cacheField name="[Measures].[Count of Order Date]" caption="Count of Order Date" numFmtId="0" hierarchy="38" level="32767"/>
    <cacheField name="[Retails Order Full Dataset].[Region].[Region]" caption="Region" numFmtId="0" hierarchy="11" level="1">
      <sharedItems containsSemiMixedTypes="0" containsNonDate="0" containsString="0"/>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3"/>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1"/>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2" memberValueDatatype="130" unbalanced="0">
      <fieldsUsage count="2">
        <fieldUsage x="-1"/>
        <fieldUsage x="0"/>
      </fieldsUsage>
    </cacheHierarchy>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8472224" createdVersion="5" refreshedVersion="8" minRefreshableVersion="3" recordCount="0" supportSubquery="1" supportAdvancedDrill="1" xr:uid="{8D538DFC-2258-47FA-8020-9272D1832797}">
  <cacheSource type="external" connectionId="2"/>
  <cacheFields count="4">
    <cacheField name="[Retails Order Full Dataset].[Order Date (Day)].[Order Date (Day)]" caption="Order Date (Day)" numFmtId="0" hierarchy="24" level="1">
      <sharedItems count="16">
        <s v="3-Feb"/>
        <s v="4-Feb"/>
        <s v="5-Feb"/>
        <s v="7-Feb"/>
        <s v="8-Feb"/>
        <s v="10-Feb"/>
        <s v="14-Feb"/>
        <s v="15-Feb"/>
        <s v="16-Feb"/>
        <s v="17-Feb"/>
        <s v="18-Feb"/>
        <s v="20-Feb"/>
        <s v="21-Feb"/>
        <s v="22-Feb"/>
        <s v="23-Feb"/>
        <s v="25-Feb"/>
      </sharedItems>
    </cacheField>
    <cacheField name="[Retails Order Full Dataset].[Order Date (Month)].[Order Date (Month)]" caption="Order Date (Month)" numFmtId="0" hierarchy="23" level="1">
      <sharedItems containsSemiMixedTypes="0" containsNonDate="0" containsString="0"/>
    </cacheField>
    <cacheField name="[Retails Order Full Dataset].[Region].[Region]" caption="Region" numFmtId="0" hierarchy="11" level="1">
      <sharedItems containsSemiMixedTypes="0" containsNonDate="0" containsString="0"/>
    </cacheField>
    <cacheField name="[Measures].[Count of Returned]" caption="Count of Returned" numFmtId="0" hierarchy="39" level="32767"/>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0"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2"/>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1"/>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2" memberValueDatatype="130" unbalanced="0">
      <fieldsUsage count="2">
        <fieldUsage x="-1"/>
        <fieldUsage x="0"/>
      </fieldsUsage>
    </cacheHierarchy>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0"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3.483429282409" createdVersion="5" refreshedVersion="8" minRefreshableVersion="3" recordCount="0" supportSubquery="1" supportAdvancedDrill="1" xr:uid="{4528BF6A-2557-45F6-9C96-50566E656180}">
  <cacheSource type="external" connectionId="2"/>
  <cacheFields count="6">
    <cacheField name="[Retails Order Full Dataset].[Customer Name].[Customer Name]" caption="Customer Name" numFmtId="0" hierarchy="5" level="1">
      <sharedItems count="10">
        <s v="Alan Dominguez"/>
        <s v="Bart Watters"/>
        <s v="Grace Kelly"/>
        <s v="Grant Thornton"/>
        <s v="Joseph Holt"/>
        <s v="Laura Armstrong"/>
        <s v="Patrick O'Brill"/>
        <s v="Pete Kriz"/>
        <s v="Tom Ashbrook"/>
        <s v="Tracy Blumstein"/>
      </sharedItems>
    </cacheField>
    <cacheField name="[Retails Order Full Dataset].[Region].[Region]" caption="Region" numFmtId="0" hierarchy="11" level="1">
      <sharedItems containsSemiMixedTypes="0" containsNonDate="0" containsString="0"/>
    </cacheField>
    <cacheField name="[Retails Order Full Dataset].[Order Date (Month)].[Order Date (Month)]" caption="Order Date (Month)" numFmtId="0" hierarchy="23" level="1">
      <sharedItems count="1">
        <s v="Feb"/>
      </sharedItems>
    </cacheField>
    <cacheField name="[Retails Order Full Dataset].[Order Date].[Order Date]" caption="Order Date" numFmtId="0" hierarchy="1" level="1">
      <sharedItems containsSemiMixedTypes="0" containsNonDate="0" containsDate="1" containsString="0" minDate="2014-02-03T00:00:00" maxDate="2017-03-01T00:00:00" count="33">
        <d v="2014-02-03T00:00:00"/>
        <d v="2014-02-05T00:00:00"/>
        <d v="2014-02-07T00:00:00"/>
        <d v="2014-02-09T00:00:00"/>
        <d v="2014-02-11T00:00:00"/>
        <d v="2014-02-12T00:00:00"/>
        <d v="2014-02-27T00:00:00"/>
        <d v="2015-02-01T00:00:00"/>
        <d v="2015-02-14T00:00:00"/>
        <d v="2015-02-16T00:00:00"/>
        <d v="2015-02-23T00:00:00"/>
        <d v="2015-02-25T00:00:00"/>
        <d v="2015-02-27T00:00:00"/>
        <d v="2016-02-01T00:00:00"/>
        <d v="2016-02-02T00:00:00"/>
        <d v="2016-02-06T00:00:00"/>
        <d v="2016-02-09T00:00:00"/>
        <d v="2016-02-10T00:00:00"/>
        <d v="2016-02-14T00:00:00"/>
        <d v="2016-02-15T00:00:00"/>
        <d v="2016-02-19T00:00:00"/>
        <d v="2016-02-23T00:00:00"/>
        <d v="2016-02-25T00:00:00"/>
        <d v="2016-02-27T00:00:00"/>
        <d v="2016-02-28T00:00:00"/>
        <d v="2016-02-29T00:00:00"/>
        <d v="2017-02-02T00:00:00"/>
        <d v="2017-02-05T00:00:00"/>
        <d v="2017-02-06T00:00:00"/>
        <d v="2017-02-09T00:00:00"/>
        <d v="2017-02-16T00:00:00"/>
        <d v="2017-02-24T00:00:00"/>
        <d v="2017-02-28T00:00:00"/>
      </sharedItems>
    </cacheField>
    <cacheField name="[Retails Order Full Dataset].[Order Date (Quarter)].[Order Date (Quarter)]" caption="Order Date (Quarter)" numFmtId="0" hierarchy="29" level="1">
      <sharedItems count="1">
        <s v="Qtr1"/>
      </sharedItems>
    </cacheField>
    <cacheField name="[Retails Order Full Dataset].[Order Date (Year)].[Order Date (Year)]" caption="Order Date (Year)" numFmtId="0" hierarchy="28" level="1">
      <sharedItems count="3">
        <s v="2015"/>
        <s v="2016"/>
        <s v="2017"/>
      </sharedItems>
    </cacheField>
  </cacheFields>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2"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2" memberValueDatatype="7" unbalanced="0">
      <fieldsUsage count="2">
        <fieldUsage x="-1"/>
        <fieldUsage x="3"/>
      </fieldsUsage>
    </cacheHierarchy>
    <cacheHierarchy uniqueName="[Retails Order Full Dataset].[Ship Date]" caption="Ship Date" attribute="1" time="1" defaultMemberUniqueName="[Retails Order Full Dataset].[Ship Date].[All]" allUniqueName="[Retails Order Full Dataset].[Ship Date].[All]" dimensionUniqueName="[Retails Order Full Dataset]" displayFolder="" count="2"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2"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2"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2" memberValueDatatype="130" unbalanced="0">
      <fieldsUsage count="2">
        <fieldUsage x="-1"/>
        <fieldUsage x="0"/>
      </fieldsUsage>
    </cacheHierarchy>
    <cacheHierarchy uniqueName="[Retails Order Full Dataset].[Segment]" caption="Segment" attribute="1" defaultMemberUniqueName="[Retails Order Full Dataset].[Segment].[All]" allUniqueName="[Retails Order Full Dataset].[Segment].[All]" dimensionUniqueName="[Retails Order Full Dataset]" displayFolder="" count="2"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2"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2"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2"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2"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fieldsUsage count="2">
        <fieldUsage x="-1"/>
        <fieldUsage x="1"/>
      </fieldsUsage>
    </cacheHierarchy>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2"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2"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2"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2"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2"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2"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2"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2"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2"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2"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2"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fieldsUsage count="2">
        <fieldUsage x="-1"/>
        <fieldUsage x="2"/>
      </fieldsUsage>
    </cacheHierarchy>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2"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2"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2"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2"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2" memberValueDatatype="130" unbalanced="0">
      <fieldsUsage count="2">
        <fieldUsage x="-1"/>
        <fieldUsage x="5"/>
      </fieldsUsage>
    </cacheHierarchy>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2" memberValueDatatype="130" unbalanced="0">
      <fieldsUsage count="2">
        <fieldUsage x="-1"/>
        <fieldUsage x="4"/>
      </fieldsUsage>
    </cacheHierarchy>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2"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2"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2"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etails Order Full Dataset" uniqueName="[Retails Order Full Dataset]" caption="Retails Order Full Dataset"/>
  </dimensions>
  <measureGroups count="1">
    <measureGroup name="Retails Order Full Dataset" caption="Retails Order Full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iba Iftikhar" refreshedDate="46132.613840046295" createdVersion="3" refreshedVersion="8" minRefreshableVersion="3" recordCount="0" supportSubquery="1" supportAdvancedDrill="1" xr:uid="{94B914F8-4D1C-47F1-B46C-A76AD3B4D71A}">
  <cacheSource type="external" connectionId="2">
    <extLst>
      <ext xmlns:x14="http://schemas.microsoft.com/office/spreadsheetml/2009/9/main" uri="{F057638F-6D5F-4e77-A914-E7F072B9BCA8}">
        <x14:sourceConnection name="ThisWorkbookDataModel"/>
      </ext>
    </extLst>
  </cacheSource>
  <cacheFields count="0"/>
  <cacheHierarchies count="44">
    <cacheHierarchy uniqueName="[Retails Order Full Dataset].[Order ID]" caption="Order ID" attribute="1" defaultMemberUniqueName="[Retails Order Full Dataset].[Order ID].[All]" allUniqueName="[Retails Order Full Dataset].[Order ID].[All]" dimensionUniqueName="[Retails Order Full Dataset]" displayFolder="" count="0" memberValueDatatype="130" unbalanced="0"/>
    <cacheHierarchy uniqueName="[Retails Order Full Dataset].[Order Date]" caption="Order Date" attribute="1" time="1" defaultMemberUniqueName="[Retails Order Full Dataset].[Order Date].[All]" allUniqueName="[Retails Order Full Dataset].[Order Date].[All]" dimensionUniqueName="[Retails Order Full Dataset]" displayFolder="" count="2" memberValueDatatype="7" unbalanced="0"/>
    <cacheHierarchy uniqueName="[Retails Order Full Dataset].[Ship Date]" caption="Ship Date" attribute="1" time="1" defaultMemberUniqueName="[Retails Order Full Dataset].[Ship Date].[All]" allUniqueName="[Retails Order Full Dataset].[Ship Date].[All]" dimensionUniqueName="[Retails Order Full Dataset]" displayFolder="" count="0" memberValueDatatype="7" unbalanced="0"/>
    <cacheHierarchy uniqueName="[Retails Order Full Dataset].[Ship Mode]" caption="Ship Mode" attribute="1" defaultMemberUniqueName="[Retails Order Full Dataset].[Ship Mode].[All]" allUniqueName="[Retails Order Full Dataset].[Ship Mode].[All]" dimensionUniqueName="[Retails Order Full Dataset]" displayFolder="" count="0" memberValueDatatype="130" unbalanced="0"/>
    <cacheHierarchy uniqueName="[Retails Order Full Dataset].[Customer ID]" caption="Customer ID" attribute="1" defaultMemberUniqueName="[Retails Order Full Dataset].[Customer ID].[All]" allUniqueName="[Retails Order Full Dataset].[Customer ID].[All]" dimensionUniqueName="[Retails Order Full Dataset]" displayFolder="" count="0" memberValueDatatype="130" unbalanced="0"/>
    <cacheHierarchy uniqueName="[Retails Order Full Dataset].[Customer Name]" caption="Customer Name" attribute="1" defaultMemberUniqueName="[Retails Order Full Dataset].[Customer Name].[All]" allUniqueName="[Retails Order Full Dataset].[Customer Name].[All]" dimensionUniqueName="[Retails Order Full Dataset]" displayFolder="" count="0" memberValueDatatype="130" unbalanced="0"/>
    <cacheHierarchy uniqueName="[Retails Order Full Dataset].[Segment]" caption="Segment" attribute="1" defaultMemberUniqueName="[Retails Order Full Dataset].[Segment].[All]" allUniqueName="[Retails Order Full Dataset].[Segment].[All]" dimensionUniqueName="[Retails Order Full Dataset]" displayFolder="" count="0" memberValueDatatype="130" unbalanced="0"/>
    <cacheHierarchy uniqueName="[Retails Order Full Dataset].[Country]" caption="Country" attribute="1" defaultMemberUniqueName="[Retails Order Full Dataset].[Country].[All]" allUniqueName="[Retails Order Full Dataset].[Country].[All]" dimensionUniqueName="[Retails Order Full Dataset]" displayFolder="" count="0" memberValueDatatype="130" unbalanced="0"/>
    <cacheHierarchy uniqueName="[Retails Order Full Dataset].[City]" caption="City" attribute="1" defaultMemberUniqueName="[Retails Order Full Dataset].[City].[All]" allUniqueName="[Retails Order Full Dataset].[City].[All]" dimensionUniqueName="[Retails Order Full Dataset]" displayFolder="" count="0" memberValueDatatype="130" unbalanced="0"/>
    <cacheHierarchy uniqueName="[Retails Order Full Dataset].[State]" caption="State" attribute="1" defaultMemberUniqueName="[Retails Order Full Dataset].[State].[All]" allUniqueName="[Retails Order Full Dataset].[State].[All]" dimensionUniqueName="[Retails Order Full Dataset]" displayFolder="" count="0" memberValueDatatype="130" unbalanced="0"/>
    <cacheHierarchy uniqueName="[Retails Order Full Dataset].[Postal Code]" caption="Postal Code" attribute="1" defaultMemberUniqueName="[Retails Order Full Dataset].[Postal Code].[All]" allUniqueName="[Retails Order Full Dataset].[Postal Code].[All]" dimensionUniqueName="[Retails Order Full Dataset]" displayFolder="" count="0" memberValueDatatype="20" unbalanced="0"/>
    <cacheHierarchy uniqueName="[Retails Order Full Dataset].[Region]" caption="Region" attribute="1" defaultMemberUniqueName="[Retails Order Full Dataset].[Region].[All]" allUniqueName="[Retails Order Full Dataset].[Region].[All]" dimensionUniqueName="[Retails Order Full Dataset]" displayFolder="" count="2" memberValueDatatype="130" unbalanced="0"/>
    <cacheHierarchy uniqueName="[Retails Order Full Dataset].[Retail Sales People]" caption="Retail Sales People" attribute="1" defaultMemberUniqueName="[Retails Order Full Dataset].[Retail Sales People].[All]" allUniqueName="[Retails Order Full Dataset].[Retail Sales People].[All]" dimensionUniqueName="[Retails Order Full Dataset]" displayFolder="" count="0" memberValueDatatype="130" unbalanced="0"/>
    <cacheHierarchy uniqueName="[Retails Order Full Dataset].[Product ID]" caption="Product ID" attribute="1" defaultMemberUniqueName="[Retails Order Full Dataset].[Product ID].[All]" allUniqueName="[Retails Order Full Dataset].[Product ID].[All]" dimensionUniqueName="[Retails Order Full Dataset]" displayFolder="" count="0" memberValueDatatype="130" unbalanced="0"/>
    <cacheHierarchy uniqueName="[Retails Order Full Dataset].[Category]" caption="Category" attribute="1" defaultMemberUniqueName="[Retails Order Full Dataset].[Category].[All]" allUniqueName="[Retails Order Full Dataset].[Category].[All]" dimensionUniqueName="[Retails Order Full Dataset]" displayFolder="" count="0" memberValueDatatype="130" unbalanced="0"/>
    <cacheHierarchy uniqueName="[Retails Order Full Dataset].[Sub-Category]" caption="Sub-Category" attribute="1" defaultMemberUniqueName="[Retails Order Full Dataset].[Sub-Category].[All]" allUniqueName="[Retails Order Full Dataset].[Sub-Category].[All]" dimensionUniqueName="[Retails Order Full Dataset]" displayFolder="" count="0" memberValueDatatype="130" unbalanced="0"/>
    <cacheHierarchy uniqueName="[Retails Order Full Dataset].[Product Name]" caption="Product Name" attribute="1" defaultMemberUniqueName="[Retails Order Full Dataset].[Product Name].[All]" allUniqueName="[Retails Order Full Dataset].[Product Name].[All]" dimensionUniqueName="[Retails Order Full Dataset]" displayFolder="" count="0" memberValueDatatype="130" unbalanced="0"/>
    <cacheHierarchy uniqueName="[Retails Order Full Dataset].[Returned]" caption="Returned" attribute="1" defaultMemberUniqueName="[Retails Order Full Dataset].[Returned].[All]" allUniqueName="[Retails Order Full Dataset].[Returned].[All]" dimensionUniqueName="[Retails Order Full Dataset]" displayFolder="" count="0" memberValueDatatype="130" unbalanced="0"/>
    <cacheHierarchy uniqueName="[Retails Order Full Dataset].[Sales]" caption="Sales" attribute="1" defaultMemberUniqueName="[Retails Order Full Dataset].[Sales].[All]" allUniqueName="[Retails Order Full Dataset].[Sales].[All]" dimensionUniqueName="[Retails Order Full Dataset]" displayFolder="" count="0" memberValueDatatype="5" unbalanced="0"/>
    <cacheHierarchy uniqueName="[Retails Order Full Dataset].[Quantity]" caption="Quantity" attribute="1" defaultMemberUniqueName="[Retails Order Full Dataset].[Quantity].[All]" allUniqueName="[Retails Order Full Dataset].[Quantity].[All]" dimensionUniqueName="[Retails Order Full Dataset]" displayFolder="" count="0" memberValueDatatype="20" unbalanced="0"/>
    <cacheHierarchy uniqueName="[Retails Order Full Dataset].[sales revenue]" caption="sales revenue" attribute="1" defaultMemberUniqueName="[Retails Order Full Dataset].[sales revenue].[All]" allUniqueName="[Retails Order Full Dataset].[sales revenue].[All]" dimensionUniqueName="[Retails Order Full Dataset]" displayFolder="" count="0" memberValueDatatype="5" unbalanced="0"/>
    <cacheHierarchy uniqueName="[Retails Order Full Dataset].[Discount]" caption="Discount" attribute="1" defaultMemberUniqueName="[Retails Order Full Dataset].[Discount].[All]" allUniqueName="[Retails Order Full Dataset].[Discount].[All]" dimensionUniqueName="[Retails Order Full Dataset]" displayFolder="" count="0" memberValueDatatype="5" unbalanced="0"/>
    <cacheHierarchy uniqueName="[Retails Order Full Dataset].[Profit]" caption="Profit" attribute="1" defaultMemberUniqueName="[Retails Order Full Dataset].[Profit].[All]" allUniqueName="[Retails Order Full Dataset].[Profit].[All]" dimensionUniqueName="[Retails Order Full Dataset]" displayFolder="" count="0" memberValueDatatype="5" unbalanced="0"/>
    <cacheHierarchy uniqueName="[Retails Order Full Dataset].[Order Date (Month)]" caption="Order Date (Month)" attribute="1" defaultMemberUniqueName="[Retails Order Full Dataset].[Order Date (Month)].[All]" allUniqueName="[Retails Order Full Dataset].[Order Date (Month)].[All]" dimensionUniqueName="[Retails Order Full Dataset]" displayFolder="" count="2" memberValueDatatype="130" unbalanced="0"/>
    <cacheHierarchy uniqueName="[Retails Order Full Dataset].[Order Date (Day)]" caption="Order Date (Day)" attribute="1" defaultMemberUniqueName="[Retails Order Full Dataset].[Order Date (Day)].[All]" allUniqueName="[Retails Order Full Dataset].[Order Date (Day)].[All]" dimensionUniqueName="[Retails Order Full Dataset]" displayFolder="" count="0" memberValueDatatype="130" unbalanced="0"/>
    <cacheHierarchy uniqueName="[Retails Order Full Dataset].[Ship Date (Year)]" caption="Ship Date (Year)" attribute="1" defaultMemberUniqueName="[Retails Order Full Dataset].[Ship Date (Year)].[All]" allUniqueName="[Retails Order Full Dataset].[Ship Date (Year)].[All]" dimensionUniqueName="[Retails Order Full Dataset]" displayFolder="" count="0" memberValueDatatype="130" unbalanced="0"/>
    <cacheHierarchy uniqueName="[Retails Order Full Dataset].[Ship Date (Quarter)]" caption="Ship Date (Quarter)" attribute="1" defaultMemberUniqueName="[Retails Order Full Dataset].[Ship Date (Quarter)].[All]" allUniqueName="[Retails Order Full Dataset].[Ship Date (Quarter)].[All]" dimensionUniqueName="[Retails Order Full Dataset]" displayFolder="" count="0" memberValueDatatype="130" unbalanced="0"/>
    <cacheHierarchy uniqueName="[Retails Order Full Dataset].[Ship Date (Month)]" caption="Ship Date (Month)" attribute="1" defaultMemberUniqueName="[Retails Order Full Dataset].[Ship Date (Month)].[All]" allUniqueName="[Retails Order Full Dataset].[Ship Date (Month)].[All]" dimensionUniqueName="[Retails Order Full Dataset]" displayFolder="" count="0" memberValueDatatype="130" unbalanced="0"/>
    <cacheHierarchy uniqueName="[Retails Order Full Dataset].[Order Date (Year)]" caption="Order Date (Year)" attribute="1" defaultMemberUniqueName="[Retails Order Full Dataset].[Order Date (Year)].[All]" allUniqueName="[Retails Order Full Dataset].[Order Date (Year)].[All]" dimensionUniqueName="[Retails Order Full Dataset]" displayFolder="" count="2" memberValueDatatype="130" unbalanced="0"/>
    <cacheHierarchy uniqueName="[Retails Order Full Dataset].[Order Date (Quarter)]" caption="Order Date (Quarter)" attribute="1" defaultMemberUniqueName="[Retails Order Full Dataset].[Order Date (Quarter)].[All]" allUniqueName="[Retails Order Full Dataset].[Order Date (Quarter)].[All]" dimensionUniqueName="[Retails Order Full Dataset]" displayFolder="" count="0" memberValueDatatype="130" unbalanced="0"/>
    <cacheHierarchy uniqueName="[Retails Order Full Dataset].[Order Date (Day Index)]" caption="Order Date (Day Index)" attribute="1" defaultMemberUniqueName="[Retails Order Full Dataset].[Order Date (Day Index)].[All]" allUniqueName="[Retails Order Full Dataset].[Order Date (Day Index)].[All]" dimensionUniqueName="[Retails Order Full Dataset]" displayFolder="" count="0" memberValueDatatype="5" unbalanced="0" hidden="1"/>
    <cacheHierarchy uniqueName="[Retails Order Full Dataset].[Order Date (Month Index)]" caption="Order Date (Month Index)" attribute="1" defaultMemberUniqueName="[Retails Order Full Dataset].[Order Date (Month Index)].[All]" allUniqueName="[Retails Order Full Dataset].[Order Date (Month Index)].[All]" dimensionUniqueName="[Retails Order Full Dataset]" displayFolder="" count="0" memberValueDatatype="20" unbalanced="0" hidden="1"/>
    <cacheHierarchy uniqueName="[Retails Order Full Dataset].[Ship Date (Month Index)]" caption="Ship Date (Month Index)" attribute="1" defaultMemberUniqueName="[Retails Order Full Dataset].[Ship Date (Month Index)].[All]" allUniqueName="[Retails Order Full Dataset].[Ship Date (Month Index)].[All]" dimensionUniqueName="[Retails Order Full Dataset]" displayFolder="" count="0" memberValueDatatype="20" unbalanced="0" hidden="1"/>
    <cacheHierarchy uniqueName="[Measures].[__XL_Count Retails Order Full Dataset]" caption="__XL_Count Retails Order Full Dataset" measure="1" displayFolder="" measureGroup="Retails Order Full Dataset" count="0" hidden="1"/>
    <cacheHierarchy uniqueName="[Measures].[__No measures defined]" caption="__No measures defined" measure="1" displayFolder="" count="0" hidden="1"/>
    <cacheHierarchy uniqueName="[Measures].[Sum of Sales]" caption="Sum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etails Order Full 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etails Order Full Dataset"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Retails Order Full Dataset"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ails Order Full Dataset" count="0" hidden="1">
      <extLst>
        <ext xmlns:x15="http://schemas.microsoft.com/office/spreadsheetml/2010/11/main" uri="{B97F6D7D-B522-45F9-BDA1-12C45D357490}">
          <x15:cacheHierarchy aggregatedColumn="17"/>
        </ext>
      </extLst>
    </cacheHierarchy>
    <cacheHierarchy uniqueName="[Measures].[Count of Ship Date]" caption="Count of Ship Date" measure="1" displayFolder="" measureGroup="Retails Order Full Dataset"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Retails Order Full Dataset"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Retails Order Full Dataset"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Retails Order Full Dataset"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8439417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92436E-9926-4A38-9375-A1091AD0F14D}" name="PivotTable3" cacheId="9" applyNumberFormats="0" applyBorderFormats="0" applyFontFormats="0" applyPatternFormats="0" applyAlignmentFormats="0" applyWidthHeightFormats="1" dataCaption="Values" tag="c538253d-b6af-4bff-885d-7a71a642218f" updatedVersion="8" minRefreshableVersion="3" useAutoFormatting="1"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numFmtId="1"/>
  </dataFields>
  <formats count="4">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76039B-703E-4284-B7C1-99FD9D13F1DA}" name="PivotTable11" cacheId="2" applyNumberFormats="0" applyBorderFormats="0" applyFontFormats="0" applyPatternFormats="0" applyAlignmentFormats="0" applyWidthHeightFormats="1" dataCaption="Values" tag="5bddb138-e1c2-4fa1-8768-cd2c9ab25c18" updatedVersion="8" minRefreshableVersion="3" subtotalHiddenItems="1" itemPrintTitles="1" createdVersion="5" indent="0" outline="1" outlineData="1" multipleFieldFilters="0" chartFormat="5">
  <location ref="D19:E31" firstHeaderRow="1" firstDataRow="1" firstDataCol="1"/>
  <pivotFields count="4">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Sum of Sales" fld="0" baseField="0" baseItem="0" numFmtId="1"/>
  </dataFields>
  <formats count="7">
    <format dxfId="10">
      <pivotArea outline="0" collapsedLevelsAreSubtotals="1" fieldPosition="0"/>
    </format>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grandRow="1" outline="0" fieldPosition="0"/>
    </format>
    <format dxfId="4">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CAA384-E51D-4DC9-ADA5-DC519F8A1762}" name="PivotTable10" cacheId="1" applyNumberFormats="0" applyBorderFormats="0" applyFontFormats="0" applyPatternFormats="0" applyAlignmentFormats="0" applyWidthHeightFormats="1" dataCaption="Values" tag="66a56d6c-cb64-43f4-8d98-5369156d1b93" updatedVersion="8" minRefreshableVersion="3" useAutoFormatting="1" subtotalHiddenItems="1" itemPrintTitles="1" createdVersion="5" indent="0" outline="1" outlineData="1" multipleFieldFilters="0">
  <location ref="D12:E16"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numFmtId="1"/>
  </dataFields>
  <formats count="7">
    <format dxfId="17">
      <pivotArea outline="0" collapsedLevelsAreSubtotals="1" fieldPosition="0"/>
    </format>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B62752-F30B-40B4-A66C-F3EFA6772E62}" name="PivotTable5" cacheId="11" applyNumberFormats="0" applyBorderFormats="0" applyFontFormats="0" applyPatternFormats="0" applyAlignmentFormats="0" applyWidthHeightFormats="1" dataCaption="Values" tag="0e86487e-548a-4625-af90-625580e39d31" updatedVersion="8" minRefreshableVersion="3" useAutoFormatting="1"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0" baseField="0"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A9F0AC-1F24-44B3-8D8B-DF1854AE0E37}" name="PivotTable21" cacheId="17" applyNumberFormats="0" applyBorderFormats="0" applyFontFormats="0" applyPatternFormats="0" applyAlignmentFormats="0" applyWidthHeightFormats="1" dataCaption="Values" tag="229656d0-3fee-4f6b-8d41-da6aed85821e" updatedVersion="8" minRefreshableVersion="3" useAutoFormatting="1" subtotalHiddenItems="1" itemPrintTitles="1" createdVersion="5" indent="0" outline="1" outlineData="1" multipleFieldFilters="0" chartFormat="14">
  <location ref="A37:B54" firstHeaderRow="1"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Quantity" fld="2" baseField="0" baseItem="0"/>
  </dataFields>
  <formats count="7">
    <format dxfId="27">
      <pivotArea outline="0" collapsedLevelsAreSubtotals="1" fieldPosition="0"/>
    </format>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chartFormats count="2">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2B3C65-F77C-4A77-92EE-E87A3106AC0B}" name="PivotTable14" cacheId="4" applyNumberFormats="0" applyBorderFormats="0" applyFontFormats="0" applyPatternFormats="0" applyAlignmentFormats="0" applyWidthHeightFormats="1" dataCaption="Values" tag="e8f3d9f7-fbc0-470a-bf0c-dfcbf3d6ab2e" updatedVersion="8" minRefreshableVersion="3" useAutoFormatting="1" subtotalHiddenItems="1" itemPrintTitles="1" createdVersion="5" indent="0" outline="1" outlineData="1" multipleFieldFilters="0" chartFormat="3">
  <location ref="M5:N16" firstHeaderRow="1" firstDataRow="1" firstDataCol="1"/>
  <pivotFields count="4">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numFmtId="1"/>
  </dataFields>
  <formats count="7">
    <format dxfId="34">
      <pivotArea outline="0" collapsedLevelsAreSubtotals="1" fieldPosition="0"/>
    </format>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 dxfId="2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5">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68534E-D6FF-4FDF-B6AE-D95DB4287754}" name="PivotTable2" cacheId="20" applyNumberFormats="0" applyBorderFormats="0" applyFontFormats="0" applyPatternFormats="0" applyAlignmentFormats="0" applyWidthHeightFormats="1" dataCaption="Values" tag="9efd796c-698f-4f46-939a-3449c985f971" updatedVersion="8" minRefreshableVersion="3" subtotalHiddenItems="1" itemPrintTitles="1" createdVersion="5" indent="0" outline="1" outlineData="1" multipleFieldFilters="0">
  <location ref="Q11" firstHeaderRow="0" firstDataRow="0" firstDataCol="0"/>
  <pivotFields count="6">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xis="axisRow" allDrilled="1" subtotalTop="0" showAll="0" dataSourceSort="1" defaultSubtotal="0">
      <items count="1">
        <item s="1" x="0" e="0"/>
      </items>
    </pivotField>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xis="axisRow" allDrilled="1" subtotalTop="0" showAll="0" dataSourceSort="1" defaultSubtotal="0">
      <items count="1">
        <item x="0" e="0"/>
      </items>
    </pivotField>
    <pivotField axis="axisRow" allDrilled="1" subtotalTop="0" showAll="0" dataSourceSort="1" defaultSubtotal="0">
      <items count="3">
        <item s="1" x="0" e="0"/>
        <item s="1" x="1" e="0"/>
        <item s="1" x="2" e="0"/>
      </items>
    </pivotField>
  </pivotFields>
  <rowFields count="4">
    <field x="5"/>
    <field x="4"/>
    <field x="2"/>
    <field x="3"/>
  </rowFields>
  <rowItems count="4">
    <i>
      <x/>
    </i>
    <i>
      <x v="1"/>
    </i>
    <i>
      <x v="2"/>
    </i>
    <i t="grand">
      <x/>
    </i>
  </rowItems>
  <formats count="5">
    <format dxfId="39">
      <pivotArea outline="0" collapsedLevelsAreSubtotals="1" fieldPosition="0"/>
    </format>
    <format dxfId="38">
      <pivotArea type="all" dataOnly="0" outline="0" fieldPosition="0"/>
    </format>
    <format dxfId="37">
      <pivotArea field="5" type="button" dataOnly="0" labelOnly="1" outline="0" axis="axisRow" fieldPosition="0"/>
    </format>
    <format dxfId="36">
      <pivotArea dataOnly="0" labelOnly="1" fieldPosition="0">
        <references count="1">
          <reference field="5" count="0"/>
        </references>
      </pivotArea>
    </format>
    <format dxfId="35">
      <pivotArea dataOnly="0" labelOnly="1" grandRow="1" outline="0"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4">
    <rowHierarchyUsage hierarchyUsage="28"/>
    <rowHierarchyUsage hierarchyUsage="29"/>
    <rowHierarchyUsage hierarchyUsage="23"/>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000019-A2E8-4E54-8292-9AF73E0D9132}" name="PivotTable1" cacheId="19" applyNumberFormats="0" applyBorderFormats="0" applyFontFormats="0" applyPatternFormats="0" applyAlignmentFormats="0" applyWidthHeightFormats="1" dataCaption="Values" tag="2d21b988-5cc6-4078-801c-b6e2b22fbcef" updatedVersion="8" minRefreshableVersion="3" useAutoFormatting="1" subtotalHiddenItems="1" itemPrintTitles="1" createdVersion="5" indent="0" outline="1" outlineData="1" multipleFieldFilters="0" chartFormat="10">
  <location ref="G37:H54" firstHeaderRow="1"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Count of Returned" fld="3" subtotal="count" baseField="0" baseItem="0"/>
  </dataFields>
  <formats count="7">
    <format dxfId="46">
      <pivotArea outline="0" collapsedLevelsAreSubtotals="1" fieldPosition="0"/>
    </format>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1214AC-77AD-418A-B93A-5AA1C1DC25BB}" name="PivotTable19" cacheId="8" applyNumberFormats="0" applyBorderFormats="0" applyFontFormats="0" applyPatternFormats="0" applyAlignmentFormats="0" applyWidthHeightFormats="1" dataCaption="Values" tag="ed2b6f68-cd44-415f-87cf-663da086a41c" updatedVersion="8" minRefreshableVersion="3" useAutoFormatting="1" subtotalHiddenItems="1" itemPrintTitles="1" createdVersion="5" indent="0" outline="1" outlineData="1" multipleFieldFilters="0">
  <location ref="G13:I17" firstHeaderRow="0"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Fields count="1">
    <field x="-2"/>
  </colFields>
  <colItems count="2">
    <i>
      <x/>
    </i>
    <i i="1">
      <x v="1"/>
    </i>
  </colItems>
  <dataFields count="2">
    <dataField name="Sum of Discount" fld="1" baseField="0" baseItem="0"/>
    <dataField name="Sum of Profit" fld="2" baseField="0" baseItem="0"/>
  </dataFields>
  <formats count="7">
    <format dxfId="53">
      <pivotArea outline="0" collapsedLevelsAreSubtotals="1" fieldPosition="0"/>
    </format>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fieldPosition="0">
        <references count="1">
          <reference field="3" count="0"/>
        </references>
      </pivotArea>
    </format>
    <format dxfId="48">
      <pivotArea dataOnly="0" labelOnly="1" grandRow="1" outline="0" fieldPosition="0"/>
    </format>
    <format dxfId="47">
      <pivotArea dataOnly="0" labelOnly="1" outline="0" fieldPosition="0">
        <references count="1">
          <reference field="4294967294" count="2">
            <x v="0"/>
            <x v="1"/>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DA7DBF-52E1-4FF6-A2B4-4E85A1E51EC7}" name="PivotTable17" cacheId="7" applyNumberFormats="0" applyBorderFormats="0" applyFontFormats="0" applyPatternFormats="0" applyAlignmentFormats="0" applyWidthHeightFormats="1" dataCaption="Values" tag="8224a392-c9fb-411b-94c6-0f35aa724990" updatedVersion="8" minRefreshableVersion="3" useAutoFormatting="1" subtotalHiddenItems="1" itemPrintTitles="1" createdVersion="5" indent="0" outline="1" outlineData="1" multipleFieldFilters="0">
  <location ref="G21:H25"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Returned" fld="1" subtotal="count" baseField="0" baseItem="0"/>
  </dataFields>
  <formats count="7">
    <format dxfId="60">
      <pivotArea outline="0" collapsedLevelsAreSubtotals="1" fieldPosition="0"/>
    </format>
    <format dxfId="59">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grandRow="1" outline="0" fieldPosition="0"/>
    </format>
    <format dxfId="54">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AAC034-C08F-41C1-A2EC-8FC3EF147361}" name="PivotTable8" cacheId="14" applyNumberFormats="0" applyBorderFormats="0" applyFontFormats="0" applyPatternFormats="0" applyAlignmentFormats="0" applyWidthHeightFormats="1" dataCaption="Values" tag="7cca0f35-ffbd-42fb-a2bd-5f8110a28380" updatedVersion="8" minRefreshableVersion="3" useAutoFormatting="1" subtotalHiddenItems="1" itemPrintTitles="1" createdVersion="5" indent="0" outline="1" outlineData="1" multipleFieldFilters="0" chartFormat="9">
  <location ref="Q16:R21"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6">
    <format dxfId="66">
      <pivotArea type="all" dataOnly="0" outline="0" fieldPosition="0"/>
    </format>
    <format dxfId="65">
      <pivotArea outline="0" collapsedLevelsAreSubtotals="1" fieldPosition="0"/>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grandRow="1" outline="0" fieldPosition="0"/>
    </format>
    <format dxfId="6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68D664-BC28-4E68-A861-E43ECA9C3DF8}" name="PivotTable13" cacheId="0" applyNumberFormats="0" applyBorderFormats="0" applyFontFormats="0" applyPatternFormats="0" applyAlignmentFormats="0" applyWidthHeightFormats="1" dataCaption="Values" tag="2d21b988-5cc6-4078-801c-b6e2b22fbcef" updatedVersion="8" minRefreshableVersion="3" useAutoFormatting="1" subtotalHiddenItems="1" itemPrintTitles="1" createdVersion="5" indent="0" outline="1" outlineData="1" multipleFieldFilters="0" chartFormat="7">
  <location ref="J38:K55" firstHeaderRow="1" firstDataRow="1" firstDataCol="1"/>
  <pivotFields count="4">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Sales" fld="0" baseField="0" baseItem="0" numFmtId="1"/>
  </dataFields>
  <formats count="7">
    <format dxfId="73">
      <pivotArea outline="0" collapsedLevelsAreSubtotals="1" fieldPosition="0"/>
    </format>
    <format dxfId="72">
      <pivotArea type="all" dataOnly="0" outline="0" fieldPosition="0"/>
    </format>
    <format dxfId="71">
      <pivotArea outline="0" collapsedLevelsAreSubtotals="1" fieldPosition="0"/>
    </format>
    <format dxfId="70">
      <pivotArea field="1" type="button" dataOnly="0" labelOnly="1" outline="0" axis="axisRow" fieldPosition="0"/>
    </format>
    <format dxfId="69">
      <pivotArea dataOnly="0" labelOnly="1" fieldPosition="0">
        <references count="1">
          <reference field="1" count="0"/>
        </references>
      </pivotArea>
    </format>
    <format dxfId="68">
      <pivotArea dataOnly="0" labelOnly="1" grandRow="1" outline="0" fieldPosition="0"/>
    </format>
    <format dxfId="67">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78FE54-7478-453D-B50A-482095B1BBF7}" name="PivotTable20" cacheId="16" applyNumberFormats="0" applyBorderFormats="0" applyFontFormats="0" applyPatternFormats="0" applyAlignmentFormats="0" applyWidthHeightFormats="1" dataCaption="Values" tag="4431ed30-e734-463a-afa1-603c4e5e5470" updatedVersion="8" minRefreshableVersion="3" useAutoFormatting="1" subtotalHiddenItems="1" itemPrintTitles="1" createdVersion="5" indent="0" outline="1" outlineData="1" multipleFieldFilters="0" chartFormat="14">
  <location ref="M38:N55" firstHeaderRow="1"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Profit" fld="2" baseField="0" baseItem="0"/>
  </dataFields>
  <formats count="7">
    <format dxfId="80">
      <pivotArea outline="0" collapsedLevelsAreSubtotals="1" fieldPosition="0"/>
    </format>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outline="0" axis="axisValues" fieldPosition="0"/>
    </format>
  </formats>
  <chartFormats count="2">
    <chartFormat chart="9"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50E8058-D834-4717-9FFF-86646CC28830}" name="PivotTable15" cacheId="5" applyNumberFormats="0" applyBorderFormats="0" applyFontFormats="0" applyPatternFormats="0" applyAlignmentFormats="0" applyWidthHeightFormats="1" dataCaption="Values" tag="7baadb24-064a-45c1-82fa-84f350fbd943" updatedVersion="8" minRefreshableVersion="3" useAutoFormatting="1" subtotalHiddenItems="1" itemPrintTitles="1" createdVersion="5" indent="0" outline="1" outlineData="1" multipleFieldFilters="0" chartFormat="4">
  <location ref="M19:O30" firstHeaderRow="0" firstDataRow="1" firstDataCol="1"/>
  <pivotFields count="6">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fld="0" baseField="0" baseItem="0" numFmtId="1"/>
    <dataField name="Sum of Discount" fld="3" baseField="0" baseItem="0"/>
  </dataFields>
  <formats count="7">
    <format dxfId="87">
      <pivotArea outline="0" collapsedLevelsAreSubtotals="1" fieldPosition="0"/>
    </format>
    <format dxfId="86">
      <pivotArea type="all" dataOnly="0" outline="0" fieldPosition="0"/>
    </format>
    <format dxfId="85">
      <pivotArea outline="0" collapsedLevelsAreSubtotals="1" fieldPosition="0"/>
    </format>
    <format dxfId="84">
      <pivotArea field="2" type="button" dataOnly="0" labelOnly="1" outline="0" axis="axisRow" fieldPosition="0"/>
    </format>
    <format dxfId="83">
      <pivotArea dataOnly="0" labelOnly="1" fieldPosition="0">
        <references count="1">
          <reference field="2" count="0"/>
        </references>
      </pivotArea>
    </format>
    <format dxfId="82">
      <pivotArea dataOnly="0" labelOnly="1" grandRow="1" outline="0" fieldPosition="0"/>
    </format>
    <format dxfId="81">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35">
      <autoFilter ref="A1">
        <filterColumn colId="0">
          <top10 val="10" filterVal="10"/>
        </filterColumn>
      </autoFilter>
    </filter>
    <filter fld="2" type="count" id="4" iMeasureHier="35">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2E3AB07-B5A6-4160-8AC3-EC0035264EE4}" name="PivotTable16" cacheId="6" applyNumberFormats="0" applyBorderFormats="0" applyFontFormats="0" applyPatternFormats="0" applyAlignmentFormats="0" applyWidthHeightFormats="1" dataCaption="Values" tag="9efd796c-698f-4f46-939a-3449c985f971" updatedVersion="8" minRefreshableVersion="3" useAutoFormatting="1" subtotalHiddenItems="1" itemPrintTitles="1" createdVersion="5" indent="0" outline="1" outlineData="1" multipleFieldFilters="0">
  <location ref="Q5:R7"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2">
    <i>
      <x/>
    </i>
    <i t="grand">
      <x/>
    </i>
  </rowItems>
  <colItems count="1">
    <i/>
  </colItems>
  <dataFields count="1">
    <dataField name="Count of Returned" fld="2" subtotal="count" baseField="0" baseItem="0"/>
  </dataFields>
  <formats count="7">
    <format dxfId="94">
      <pivotArea outline="0" collapsedLevelsAreSubtotals="1" fieldPosition="0"/>
    </format>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0"/>
        </references>
      </pivotArea>
    </format>
    <format dxfId="89">
      <pivotArea dataOnly="0" labelOnly="1" grandRow="1" outline="0" fieldPosition="0"/>
    </format>
    <format dxfId="88">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2CB1E8-4886-47D6-807B-9179700A858E}" name="PivotTable6" cacheId="12" applyNumberFormats="0" applyBorderFormats="0" applyFontFormats="0" applyPatternFormats="0" applyAlignmentFormats="0" applyWidthHeightFormats="1" dataCaption="Values" tag="428cc4be-75f0-432c-962b-49aee0de14c1" updatedVersion="8" minRefreshableVersion="3" useAutoFormatting="1" subtotalHiddenItems="1" itemPrintTitles="1" createdVersion="5"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 Date" fld="0" subtotal="count" baseField="0" baseItem="0"/>
  </dataFields>
  <formats count="3">
    <format dxfId="97">
      <pivotArea type="all" dataOnly="0" outline="0" fieldPosition="0"/>
    </format>
    <format dxfId="96">
      <pivotArea outline="0" collapsedLevelsAreSubtotals="1" fieldPosition="0"/>
    </format>
    <format dxfId="95">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3A3290-8864-4262-818F-A6E9C6777C55}" name="PivotTable4" cacheId="10" applyNumberFormats="0" applyBorderFormats="0" applyFontFormats="0" applyPatternFormats="0" applyAlignmentFormats="0" applyWidthHeightFormats="1" dataCaption="Values" tag="65885aad-73e2-4c97-9c14-594f67e66577" updatedVersion="8" minRefreshableVersion="3" useAutoFormatting="1"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numFmtId="1"/>
  </dataFields>
  <formats count="4">
    <format dxfId="101">
      <pivotArea outline="0" collapsedLevelsAreSubtotals="1"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5B4F789-EBCD-4698-AF13-D4DBCDED6667}" name="PivotTable22" cacheId="18" applyNumberFormats="0" applyBorderFormats="0" applyFontFormats="0" applyPatternFormats="0" applyAlignmentFormats="0" applyWidthHeightFormats="1" dataCaption="Values" tag="cd769582-0855-4220-9f37-45f5d908171b" updatedVersion="8" minRefreshableVersion="3" useAutoFormatting="1" subtotalHiddenItems="1" itemPrintTitles="1" createdVersion="5" indent="0" outline="1" outlineData="1" multipleFieldFilters="0" chartFormat="18">
  <location ref="D37:E54" firstHeaderRow="1"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Count of Order Date" fld="2" subtotal="count" baseField="0" baseItem="0"/>
  </dataFields>
  <formats count="7">
    <format dxfId="108">
      <pivotArea outline="0" collapsedLevelsAreSubtotals="1" fieldPosition="0"/>
    </format>
    <format dxfId="107">
      <pivotArea type="all" dataOnly="0" outline="0" fieldPosition="0"/>
    </format>
    <format dxfId="106">
      <pivotArea outline="0" collapsedLevelsAreSubtotals="1" fieldPosition="0"/>
    </format>
    <format dxfId="105">
      <pivotArea field="0" type="button" dataOnly="0" labelOnly="1" outline="0" axis="axisRow" fieldPosition="0"/>
    </format>
    <format dxfId="104">
      <pivotArea dataOnly="0" labelOnly="1" fieldPosition="0">
        <references count="1">
          <reference field="0" count="0"/>
        </references>
      </pivotArea>
    </format>
    <format dxfId="103">
      <pivotArea dataOnly="0" labelOnly="1" grandRow="1" outline="0" fieldPosition="0"/>
    </format>
    <format dxfId="102">
      <pivotArea dataOnly="0" labelOnly="1" outline="0" axis="axisValues" fieldPosition="0"/>
    </format>
  </formats>
  <chartFormats count="2">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C1FEEB5-B430-4A1B-8A0D-50559F093283}" name="PivotTable7" cacheId="13" applyNumberFormats="0" applyBorderFormats="0" applyFontFormats="0" applyPatternFormats="0" applyAlignmentFormats="0" applyWidthHeightFormats="1" dataCaption="Values" tag="4763ba13-fbd5-4bf4-8c89-c19755799965" updatedVersion="8" minRefreshableVersion="3" useAutoFormatting="1" subtotalHiddenItems="1" itemPrintTitles="1" createdVersion="5" indent="0" outline="1" outlineData="1" multipleFieldFilters="0">
  <location ref="A21:A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Returned" fld="0" subtotal="count" baseField="0" baseItem="0"/>
  </dataFields>
  <formats count="3">
    <format dxfId="111">
      <pivotArea type="all" dataOnly="0" outline="0" fieldPosition="0"/>
    </format>
    <format dxfId="110">
      <pivotArea outline="0" collapsedLevelsAreSubtotals="1" fieldPosition="0"/>
    </format>
    <format dxfId="109">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472AD6E-00C3-4086-8386-B07E6B345CFE}" name="PivotTable12" cacheId="3" applyNumberFormats="0" applyBorderFormats="0" applyFontFormats="0" applyPatternFormats="0" applyAlignmentFormats="0" applyWidthHeightFormats="1" dataCaption="Values" tag="3553702b-ad8b-41c5-a674-dfff2fbab9da" updatedVersion="8" minRefreshableVersion="3" useAutoFormatting="1" subtotalHiddenItems="1" itemPrintTitles="1" createdVersion="5" indent="0" outline="1" outlineData="1" multipleFieldFilters="0">
  <location ref="G5:J9" firstHeaderRow="0"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2"/>
  </colFields>
  <colItems count="3">
    <i>
      <x/>
    </i>
    <i i="1">
      <x v="1"/>
    </i>
    <i i="2">
      <x v="2"/>
    </i>
  </colItems>
  <dataFields count="3">
    <dataField name="Sum of Sales" fld="0" baseField="0" baseItem="0" numFmtId="1"/>
    <dataField name="Sum of Quantity" fld="2" baseField="0" baseItem="0"/>
    <dataField name="Sum of Profit" fld="3" baseField="0" baseItem="0"/>
  </dataFields>
  <formats count="7">
    <format dxfId="118">
      <pivotArea outline="0" collapsedLevelsAreSubtotals="1" fieldPosition="0"/>
    </format>
    <format dxfId="117">
      <pivotArea type="all" dataOnly="0" outline="0" fieldPosition="0"/>
    </format>
    <format dxfId="116">
      <pivotArea outline="0" collapsedLevelsAreSubtotals="1" fieldPosition="0"/>
    </format>
    <format dxfId="115">
      <pivotArea field="1" type="button" dataOnly="0" labelOnly="1" outline="0" axis="axisRow" fieldPosition="0"/>
    </format>
    <format dxfId="114">
      <pivotArea dataOnly="0" labelOnly="1" fieldPosition="0">
        <references count="1">
          <reference field="1" count="0"/>
        </references>
      </pivotArea>
    </format>
    <format dxfId="113">
      <pivotArea dataOnly="0" labelOnly="1" grandRow="1" outline="0" fieldPosition="0"/>
    </format>
    <format dxfId="112">
      <pivotArea dataOnly="0" labelOnly="1" outline="0" fieldPosition="0">
        <references count="1">
          <reference field="4294967294" count="3">
            <x v="0"/>
            <x v="1"/>
            <x v="2"/>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3F92254-AD7D-4155-AF4D-DAA1B6B01056}" name="PivotTable9" cacheId="15" applyNumberFormats="0" applyBorderFormats="0" applyFontFormats="0" applyPatternFormats="0" applyAlignmentFormats="0" applyWidthHeightFormats="1" dataCaption="Values" tag="62b5c4f6-8927-47cb-8803-140deba56ed4" updatedVersion="8" minRefreshableVersion="3" useAutoFormatting="1" subtotalHiddenItems="1" itemPrintTitles="1" createdVersion="5" indent="0" outline="1" outlineData="1" multipleFieldFilters="0" chartFormat="3">
  <location ref="D5:E9"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numFmtId="1"/>
  </dataFields>
  <formats count="7">
    <format dxfId="125">
      <pivotArea outline="0" collapsedLevelsAreSubtotals="1" fieldPosition="0"/>
    </format>
    <format dxfId="124">
      <pivotArea type="all" dataOnly="0" outline="0" fieldPosition="0"/>
    </format>
    <format dxfId="123">
      <pivotArea outline="0" collapsedLevelsAreSubtotals="1" fieldPosition="0"/>
    </format>
    <format dxfId="122">
      <pivotArea field="1" type="button" dataOnly="0" labelOnly="1" outline="0" axis="axisRow" fieldPosition="0"/>
    </format>
    <format dxfId="121">
      <pivotArea dataOnly="0" labelOnly="1" fieldPosition="0">
        <references count="1">
          <reference field="1" count="0"/>
        </references>
      </pivotArea>
    </format>
    <format dxfId="120">
      <pivotArea dataOnly="0" labelOnly="1" grandRow="1" outline="0" fieldPosition="0"/>
    </format>
    <format dxfId="11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s Order Full Dataset].[Order 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 Order Full Dataset]"/>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4</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FC2CDA14-BB06-4372-994A-2BA907D90F11}" sourceName="[Retails Order Full Dataset].[Order Date (Month)]">
  <pivotTables>
    <pivotTable tabId="1" name="PivotTable13"/>
    <pivotTable tabId="1" name="PivotTable10"/>
    <pivotTable tabId="1" name="PivotTable11"/>
    <pivotTable tabId="1" name="PivotTable12"/>
    <pivotTable tabId="1" name="PivotTable14"/>
    <pivotTable tabId="1" name="PivotTable15"/>
    <pivotTable tabId="1" name="PivotTable16"/>
    <pivotTable tabId="1" name="PivotTable17"/>
    <pivotTable tabId="1" name="PivotTable19"/>
    <pivotTable tabId="1" name="PivotTable3"/>
    <pivotTable tabId="1" name="PivotTable4"/>
    <pivotTable tabId="1" name="PivotTable5"/>
    <pivotTable tabId="1" name="PivotTable6"/>
    <pivotTable tabId="1" name="PivotTable7"/>
    <pivotTable tabId="1" name="PivotTable8"/>
    <pivotTable tabId="1" name="PivotTable9"/>
    <pivotTable tabId="1" name="PivotTable20"/>
    <pivotTable tabId="1" name="PivotTable21"/>
    <pivotTable tabId="1" name="PivotTable22"/>
    <pivotTable tabId="1" name="PivotTable1"/>
    <pivotTable tabId="1" name="PivotTable2"/>
  </pivotTables>
  <data>
    <olap pivotCacheId="1843941707">
      <levels count="2">
        <level uniqueName="[Retails Order Full Dataset].[Order Date (Month)].[(All)]" sourceCaption="(All)" count="0"/>
        <level uniqueName="[Retails Order Full Dataset].[Order Date (Month)].[Order Date (Month)]" sourceCaption="Order Date (Month)" count="12">
          <ranges>
            <range startItem="0">
              <i n="[Retails Order Full Dataset].[Order Date (Month)].&amp;[Jan]" c="Jan"/>
              <i n="[Retails Order Full Dataset].[Order Date (Month)].&amp;[Feb]" c="Feb"/>
              <i n="[Retails Order Full Dataset].[Order Date (Month)].&amp;[Mar]" c="Mar"/>
              <i n="[Retails Order Full Dataset].[Order Date (Month)].&amp;[Apr]" c="Apr"/>
              <i n="[Retails Order Full Dataset].[Order Date (Month)].&amp;[May]" c="May"/>
              <i n="[Retails Order Full Dataset].[Order Date (Month)].&amp;[Jun]" c="Jun"/>
              <i n="[Retails Order Full Dataset].[Order Date (Month)].&amp;[Jul]" c="Jul"/>
              <i n="[Retails Order Full Dataset].[Order Date (Month)].&amp;[Aug]" c="Aug"/>
              <i n="[Retails Order Full Dataset].[Order Date (Month)].&amp;[Sep]" c="Sep"/>
              <i n="[Retails Order Full Dataset].[Order Date (Month)].&amp;[Oct]" c="Oct"/>
              <i n="[Retails Order Full Dataset].[Order Date (Month)].&amp;[Nov]" c="Nov"/>
              <i n="[Retails Order Full Dataset].[Order Date (Month)].&amp;[Dec]" c="Dec"/>
            </range>
          </ranges>
        </level>
      </levels>
      <selections count="1">
        <selection n="[Retails Order Full Dataset].[Order 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9E9C41-ADCE-434E-90FD-EB14A58B8F51}" sourceName="[Retails Order Full Dataset].[Region]">
  <pivotTables>
    <pivotTable tabId="1" name="PivotTable16"/>
    <pivotTable tabId="1" name="PivotTable10"/>
    <pivotTable tabId="1" name="PivotTable11"/>
    <pivotTable tabId="1" name="PivotTable12"/>
    <pivotTable tabId="1" name="PivotTable13"/>
    <pivotTable tabId="1" name="PivotTable14"/>
    <pivotTable tabId="1" name="PivotTable15"/>
    <pivotTable tabId="1" name="PivotTable17"/>
    <pivotTable tabId="1" name="PivotTable19"/>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 name="PivotTable1"/>
    <pivotTable tabId="1" name="PivotTable2"/>
  </pivotTables>
  <data>
    <olap pivotCacheId="1843941707">
      <levels count="2">
        <level uniqueName="[Retails Order Full Dataset].[Region].[(All)]" sourceCaption="(All)" count="0"/>
        <level uniqueName="[Retails Order Full Dataset].[Region].[Region]" sourceCaption="Region" count="4">
          <ranges>
            <range startItem="0">
              <i n="[Retails Order Full Dataset].[Region].&amp;[Central]" c="Central"/>
              <i n="[Retails Order Full Dataset].[Region].&amp;[East]" c="East"/>
              <i n="[Retails Order Full Dataset].[Region].&amp;[South]" c="South"/>
              <i n="[Retails Order Full Dataset].[Region].&amp;[West]" c="West"/>
            </range>
          </ranges>
        </level>
      </levels>
      <selections count="1">
        <selection n="[Retails Order Full Dataset].[Region].&amp;[Centra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A0D34B43-AE22-4510-9705-652988214812}" sourceName="[Retails Order Full Dataset].[Order Date (Year)]">
  <pivotTables>
    <pivotTable tabId="1" name="PivotTable2"/>
  </pivotTables>
  <data>
    <olap pivotCacheId="1843941707">
      <levels count="2">
        <level uniqueName="[Retails Order Full Dataset].[Order Date (Year)].[(All)]" sourceCaption="(All)" count="0"/>
        <level uniqueName="[Retails Order Full Dataset].[Order Date (Year)].[Order Date (Year)]" sourceCaption="Order Date (Year)" count="4">
          <ranges>
            <range startItem="0">
              <i n="[Retails Order Full Dataset].[Order Date (Year)].&amp;[2014]" c="2014"/>
              <i n="[Retails Order Full Dataset].[Order Date (Year)].&amp;[2015]" c="2015"/>
              <i n="[Retails Order Full Dataset].[Order Date (Year)].&amp;[2016]" c="2016"/>
              <i n="[Retails Order Full Dataset].[Order Date (Year)].&amp;[2017]" c="2017"/>
            </range>
          </ranges>
        </level>
      </levels>
      <selections count="3">
        <selection n="[Retails Order Full Dataset].[Order Date (Year)].&amp;[2015]"/>
        <selection n="[Retails Order Full Dataset].[Order Date (Year)].&amp;[2016]"/>
        <selection n="[Retails Order Full Dataset].[Order Date (Year)].&amp;[2017]"/>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6D86E9F1-8D62-4A7F-929E-89AECCF30929}" cache="Slicer_Order_Date__Month" caption="Order Date (Month)" columnCount="2" showCaption="0" level="1" style="SlicerStyleLight1 2" rowHeight="251883"/>
  <slicer name="Region" xr10:uid="{5F22E44B-D676-4427-A2A5-A470DC671D38}" cache="Slicer_Region" caption="Region" showCaption="0" level="1" style="SlicerStyleLight1 2" rowHeight="251883"/>
  <slicer name="Order Date (Year)" xr10:uid="{5255EA9D-95BE-46C7-B4A0-48C333CE4F62}" cache="Slicer_Order_Date__Year" caption="Order Date (Year)" showCaption="0" level="1" style="SlicerStyleLight1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E640A-A56B-4589-B6F9-3F62619D908D}">
  <dimension ref="A1:R59"/>
  <sheetViews>
    <sheetView tabSelected="1" zoomScale="67" workbookViewId="0">
      <selection activeCell="I23" sqref="I23"/>
    </sheetView>
  </sheetViews>
  <sheetFormatPr defaultRowHeight="14.5" x14ac:dyDescent="0.35"/>
  <cols>
    <col min="1" max="1" width="18.54296875" bestFit="1" customWidth="1"/>
    <col min="2" max="2" width="14.7265625" bestFit="1" customWidth="1"/>
    <col min="3" max="3" width="11.81640625" customWidth="1"/>
    <col min="4" max="4" width="21.90625" bestFit="1" customWidth="1"/>
    <col min="5" max="5" width="18.36328125" bestFit="1" customWidth="1"/>
    <col min="7" max="7" width="31.81640625" bestFit="1" customWidth="1"/>
    <col min="8" max="8" width="17.08984375" bestFit="1" customWidth="1"/>
    <col min="9" max="9" width="14.7265625" bestFit="1" customWidth="1"/>
    <col min="10" max="10" width="16.08984375" bestFit="1" customWidth="1"/>
    <col min="11" max="11" width="11.90625" bestFit="1" customWidth="1"/>
    <col min="13" max="13" width="80.26953125" bestFit="1" customWidth="1"/>
    <col min="14" max="14" width="12" bestFit="1" customWidth="1"/>
    <col min="15" max="15" width="15.1796875" bestFit="1" customWidth="1"/>
    <col min="16" max="16" width="11.54296875" bestFit="1" customWidth="1"/>
    <col min="17" max="17" width="19.54296875" bestFit="1" customWidth="1"/>
    <col min="18" max="18" width="17.08984375" bestFit="1" customWidth="1"/>
    <col min="19" max="19" width="11.54296875" bestFit="1" customWidth="1"/>
    <col min="20" max="20" width="3.90625" bestFit="1" customWidth="1"/>
    <col min="21" max="21" width="19.54296875" bestFit="1" customWidth="1"/>
    <col min="22" max="22" width="16.08984375" bestFit="1" customWidth="1"/>
    <col min="23" max="23" width="3.6328125" bestFit="1" customWidth="1"/>
    <col min="24" max="24" width="3.08984375" bestFit="1" customWidth="1"/>
    <col min="25" max="25" width="3.90625" bestFit="1" customWidth="1"/>
    <col min="26" max="26" width="4" bestFit="1" customWidth="1"/>
    <col min="27" max="27" width="3.7265625" bestFit="1" customWidth="1"/>
    <col min="28" max="28" width="4" bestFit="1" customWidth="1"/>
    <col min="29" max="29" width="4.08984375" bestFit="1" customWidth="1"/>
    <col min="30" max="30" width="10.36328125" bestFit="1" customWidth="1"/>
    <col min="31" max="32" width="5.6328125" bestFit="1" customWidth="1"/>
    <col min="33" max="33" width="6.08984375" bestFit="1" customWidth="1"/>
    <col min="34" max="34" width="5.90625" bestFit="1" customWidth="1"/>
    <col min="35" max="35" width="5.36328125" bestFit="1" customWidth="1"/>
    <col min="36" max="36" width="6.08984375" bestFit="1" customWidth="1"/>
    <col min="37" max="37" width="5.6328125" bestFit="1" customWidth="1"/>
    <col min="38" max="38" width="5.7265625" bestFit="1" customWidth="1"/>
    <col min="39" max="39" width="6.08984375" bestFit="1" customWidth="1"/>
    <col min="40" max="40" width="5.7265625" bestFit="1" customWidth="1"/>
    <col min="41" max="41" width="5.81640625" bestFit="1" customWidth="1"/>
    <col min="42" max="42" width="6.54296875" bestFit="1" customWidth="1"/>
    <col min="43" max="44" width="5.6328125" bestFit="1" customWidth="1"/>
    <col min="45" max="45" width="6.08984375" bestFit="1" customWidth="1"/>
    <col min="46" max="46" width="5.90625" bestFit="1" customWidth="1"/>
    <col min="47" max="47" width="5.36328125" bestFit="1" customWidth="1"/>
    <col min="48" max="48" width="6.08984375" bestFit="1" customWidth="1"/>
    <col min="49" max="49" width="5.6328125" bestFit="1" customWidth="1"/>
    <col min="50" max="50" width="5.7265625" bestFit="1" customWidth="1"/>
    <col min="51" max="51" width="6.08984375" bestFit="1" customWidth="1"/>
    <col min="52" max="52" width="5.7265625" bestFit="1" customWidth="1"/>
    <col min="53" max="53" width="5.81640625" bestFit="1" customWidth="1"/>
    <col min="54" max="54" width="6.54296875" bestFit="1" customWidth="1"/>
    <col min="55" max="56" width="5.6328125" bestFit="1" customWidth="1"/>
    <col min="57" max="57" width="6.08984375" bestFit="1" customWidth="1"/>
    <col min="58" max="58" width="5.90625" bestFit="1" customWidth="1"/>
    <col min="59" max="59" width="5.36328125" bestFit="1" customWidth="1"/>
    <col min="60" max="60" width="6.08984375" bestFit="1" customWidth="1"/>
    <col min="61" max="61" width="5.6328125" bestFit="1" customWidth="1"/>
    <col min="62" max="62" width="5.7265625" bestFit="1" customWidth="1"/>
    <col min="63" max="63" width="6.08984375" bestFit="1" customWidth="1"/>
    <col min="64" max="64" width="5.7265625" bestFit="1" customWidth="1"/>
    <col min="65" max="65" width="5.81640625" bestFit="1" customWidth="1"/>
    <col min="66" max="66" width="6.54296875" bestFit="1" customWidth="1"/>
    <col min="67" max="67" width="5.6328125" bestFit="1" customWidth="1"/>
    <col min="68" max="68" width="6.08984375" bestFit="1" customWidth="1"/>
    <col min="69" max="69" width="10.36328125" bestFit="1" customWidth="1"/>
    <col min="70" max="844" width="10.26953125" bestFit="1" customWidth="1"/>
    <col min="845" max="845" width="10.36328125" bestFit="1" customWidth="1"/>
  </cols>
  <sheetData>
    <row r="1" spans="1:18" x14ac:dyDescent="0.35">
      <c r="A1" s="36" t="s">
        <v>43</v>
      </c>
      <c r="B1" s="40"/>
      <c r="D1" s="43" t="s">
        <v>44</v>
      </c>
      <c r="E1" s="44"/>
      <c r="G1" s="36" t="s">
        <v>46</v>
      </c>
      <c r="H1" s="49"/>
      <c r="I1" s="49"/>
      <c r="J1" s="49"/>
      <c r="K1" s="37"/>
      <c r="M1" s="47" t="s">
        <v>47</v>
      </c>
      <c r="N1" s="51"/>
      <c r="O1" s="52"/>
      <c r="Q1" s="36" t="s">
        <v>48</v>
      </c>
      <c r="R1" s="37"/>
    </row>
    <row r="2" spans="1:18" x14ac:dyDescent="0.35">
      <c r="A2" s="41"/>
      <c r="B2" s="42"/>
      <c r="D2" s="45"/>
      <c r="E2" s="46"/>
      <c r="G2" s="38"/>
      <c r="H2" s="50"/>
      <c r="I2" s="50"/>
      <c r="J2" s="50"/>
      <c r="K2" s="39"/>
      <c r="M2" s="53"/>
      <c r="N2" s="54"/>
      <c r="O2" s="55"/>
      <c r="Q2" s="38"/>
      <c r="R2" s="39"/>
    </row>
    <row r="3" spans="1:18" x14ac:dyDescent="0.35">
      <c r="A3" s="4"/>
      <c r="B3" s="3"/>
      <c r="D3" s="4"/>
      <c r="E3" s="3"/>
      <c r="G3" s="4"/>
      <c r="K3" s="3"/>
      <c r="M3" s="4"/>
      <c r="O3" s="3"/>
      <c r="Q3" s="4"/>
      <c r="R3" s="3"/>
    </row>
    <row r="4" spans="1:18" x14ac:dyDescent="0.35">
      <c r="A4" s="5" t="s">
        <v>8</v>
      </c>
      <c r="B4" s="3"/>
      <c r="D4" s="5" t="s">
        <v>31</v>
      </c>
      <c r="E4" s="3"/>
      <c r="G4" s="5" t="s">
        <v>34</v>
      </c>
      <c r="K4" s="3"/>
      <c r="M4" s="5" t="s">
        <v>36</v>
      </c>
      <c r="O4" s="3"/>
      <c r="Q4" s="5" t="s">
        <v>39</v>
      </c>
      <c r="R4" s="3"/>
    </row>
    <row r="5" spans="1:18" x14ac:dyDescent="0.35">
      <c r="A5" s="21" t="s">
        <v>5</v>
      </c>
      <c r="B5" s="3"/>
      <c r="D5" s="19" t="s">
        <v>0</v>
      </c>
      <c r="E5" s="21" t="s">
        <v>5</v>
      </c>
      <c r="G5" s="19" t="s">
        <v>0</v>
      </c>
      <c r="H5" s="30" t="s">
        <v>5</v>
      </c>
      <c r="I5" s="31" t="s">
        <v>6</v>
      </c>
      <c r="J5" s="32" t="s">
        <v>7</v>
      </c>
      <c r="K5" s="3"/>
      <c r="M5" s="19" t="s">
        <v>0</v>
      </c>
      <c r="N5" s="21" t="s">
        <v>5</v>
      </c>
      <c r="O5" s="3"/>
      <c r="Q5" s="19" t="s">
        <v>0</v>
      </c>
      <c r="R5" s="21" t="s">
        <v>13</v>
      </c>
    </row>
    <row r="6" spans="1:18" x14ac:dyDescent="0.35">
      <c r="A6" s="22">
        <v>3372.8560000000002</v>
      </c>
      <c r="B6" s="3"/>
      <c r="D6" s="26" t="s">
        <v>1</v>
      </c>
      <c r="E6" s="23">
        <v>1961.02</v>
      </c>
      <c r="G6" s="26" t="s">
        <v>1</v>
      </c>
      <c r="H6" s="27">
        <v>1961.02</v>
      </c>
      <c r="I6" s="11">
        <v>13</v>
      </c>
      <c r="J6" s="28">
        <v>97.614400000000003</v>
      </c>
      <c r="K6" s="3"/>
      <c r="M6" s="26" t="s">
        <v>72</v>
      </c>
      <c r="N6" s="23">
        <v>163.96</v>
      </c>
      <c r="O6" s="3"/>
      <c r="Q6" s="20" t="s">
        <v>25</v>
      </c>
      <c r="R6" s="23">
        <v>23</v>
      </c>
    </row>
    <row r="7" spans="1:18" x14ac:dyDescent="0.35">
      <c r="A7" s="4"/>
      <c r="B7" s="3"/>
      <c r="D7" s="17" t="s">
        <v>2</v>
      </c>
      <c r="E7" s="24">
        <v>1166.652</v>
      </c>
      <c r="G7" s="17" t="s">
        <v>2</v>
      </c>
      <c r="H7" s="6">
        <v>1166.652</v>
      </c>
      <c r="I7" s="1">
        <v>79</v>
      </c>
      <c r="J7" s="9">
        <v>-128.94319999999999</v>
      </c>
      <c r="K7" s="3"/>
      <c r="M7" s="17" t="s">
        <v>73</v>
      </c>
      <c r="N7" s="24">
        <v>86.352000000000004</v>
      </c>
      <c r="O7" s="3"/>
      <c r="Q7" s="20" t="s">
        <v>4</v>
      </c>
      <c r="R7" s="25">
        <v>23</v>
      </c>
    </row>
    <row r="8" spans="1:18" x14ac:dyDescent="0.35">
      <c r="A8" s="5" t="s">
        <v>9</v>
      </c>
      <c r="B8" s="3"/>
      <c r="D8" s="18" t="s">
        <v>3</v>
      </c>
      <c r="E8" s="24">
        <v>245.184</v>
      </c>
      <c r="G8" s="18" t="s">
        <v>3</v>
      </c>
      <c r="H8" s="6">
        <v>245.184</v>
      </c>
      <c r="I8" s="1">
        <v>7</v>
      </c>
      <c r="J8" s="9">
        <v>84.223200000000006</v>
      </c>
      <c r="K8" s="3"/>
      <c r="M8" s="17" t="s">
        <v>74</v>
      </c>
      <c r="N8" s="24">
        <v>1454.9</v>
      </c>
      <c r="O8" s="3"/>
      <c r="Q8" s="4"/>
      <c r="R8" s="3"/>
    </row>
    <row r="9" spans="1:18" x14ac:dyDescent="0.35">
      <c r="A9" s="21" t="s">
        <v>7</v>
      </c>
      <c r="B9" s="3"/>
      <c r="D9" s="20" t="s">
        <v>4</v>
      </c>
      <c r="E9" s="25">
        <v>3372.8560000000002</v>
      </c>
      <c r="G9" s="20" t="s">
        <v>4</v>
      </c>
      <c r="H9" s="29">
        <v>3372.8560000000002</v>
      </c>
      <c r="I9" s="15">
        <v>99</v>
      </c>
      <c r="J9" s="16">
        <v>52.894399999999997</v>
      </c>
      <c r="K9" s="3"/>
      <c r="M9" s="17" t="s">
        <v>75</v>
      </c>
      <c r="N9" s="24">
        <v>92.063999999999993</v>
      </c>
      <c r="O9" s="3"/>
      <c r="Q9" s="4"/>
      <c r="R9" s="3"/>
    </row>
    <row r="10" spans="1:18" x14ac:dyDescent="0.35">
      <c r="A10" s="22">
        <v>52.894399999999997</v>
      </c>
      <c r="B10" s="3"/>
      <c r="D10" s="4"/>
      <c r="E10" s="3"/>
      <c r="G10" s="4"/>
      <c r="K10" s="3"/>
      <c r="M10" s="17" t="s">
        <v>76</v>
      </c>
      <c r="N10" s="24">
        <v>480.96</v>
      </c>
      <c r="O10" s="3"/>
      <c r="Q10" s="5" t="s">
        <v>42</v>
      </c>
      <c r="R10" s="3"/>
    </row>
    <row r="11" spans="1:18" x14ac:dyDescent="0.35">
      <c r="A11" s="4"/>
      <c r="B11" s="3"/>
      <c r="D11" s="10" t="s">
        <v>32</v>
      </c>
      <c r="E11" s="3"/>
      <c r="G11" s="4"/>
      <c r="K11" s="3"/>
      <c r="M11" s="17" t="s">
        <v>77</v>
      </c>
      <c r="N11" s="24">
        <v>62.31</v>
      </c>
      <c r="O11" s="3"/>
      <c r="Q11" s="22" t="e" vm="1">
        <v>#VALUE!</v>
      </c>
      <c r="R11" s="3"/>
    </row>
    <row r="12" spans="1:18" x14ac:dyDescent="0.35">
      <c r="A12" s="5" t="s">
        <v>10</v>
      </c>
      <c r="B12" s="3"/>
      <c r="D12" s="19" t="s">
        <v>0</v>
      </c>
      <c r="E12" s="21" t="s">
        <v>5</v>
      </c>
      <c r="G12" s="10" t="s">
        <v>41</v>
      </c>
      <c r="H12" s="14"/>
      <c r="I12" s="14"/>
      <c r="K12" s="3"/>
      <c r="M12" s="17" t="s">
        <v>78</v>
      </c>
      <c r="N12" s="24">
        <v>490.32</v>
      </c>
      <c r="O12" s="3"/>
      <c r="R12" s="3"/>
    </row>
    <row r="13" spans="1:18" x14ac:dyDescent="0.35">
      <c r="A13" s="21" t="s">
        <v>6</v>
      </c>
      <c r="B13" s="3"/>
      <c r="D13" s="26" t="s">
        <v>18</v>
      </c>
      <c r="E13" s="23">
        <v>364.54400000000004</v>
      </c>
      <c r="G13" s="19" t="s">
        <v>0</v>
      </c>
      <c r="H13" s="30" t="s">
        <v>37</v>
      </c>
      <c r="I13" s="32" t="s">
        <v>7</v>
      </c>
      <c r="K13" s="3"/>
      <c r="L13" s="1"/>
      <c r="M13" s="17" t="s">
        <v>79</v>
      </c>
      <c r="N13" s="24">
        <v>79.36</v>
      </c>
      <c r="O13" s="3"/>
      <c r="R13" s="3"/>
    </row>
    <row r="14" spans="1:18" x14ac:dyDescent="0.35">
      <c r="A14" s="21">
        <v>99</v>
      </c>
      <c r="B14" s="3"/>
      <c r="D14" s="17" t="s">
        <v>15</v>
      </c>
      <c r="E14" s="24">
        <v>1760.0760000000002</v>
      </c>
      <c r="G14" s="26" t="s">
        <v>1</v>
      </c>
      <c r="H14" s="27">
        <v>1.1000000000000001</v>
      </c>
      <c r="I14" s="28">
        <v>97.614400000000003</v>
      </c>
      <c r="K14" s="3"/>
      <c r="L14" s="1"/>
      <c r="M14" s="17" t="s">
        <v>80</v>
      </c>
      <c r="N14" s="24">
        <v>58.05</v>
      </c>
      <c r="O14" s="3"/>
      <c r="Q14" s="4"/>
      <c r="R14" s="3"/>
    </row>
    <row r="15" spans="1:18" x14ac:dyDescent="0.35">
      <c r="A15" s="4"/>
      <c r="B15" s="3"/>
      <c r="D15" s="18" t="s">
        <v>24</v>
      </c>
      <c r="E15" s="24">
        <v>1248.2360000000001</v>
      </c>
      <c r="G15" s="17" t="s">
        <v>2</v>
      </c>
      <c r="H15" s="6">
        <v>6.2</v>
      </c>
      <c r="I15" s="9">
        <v>-128.94319999999999</v>
      </c>
      <c r="K15" s="3"/>
      <c r="L15" s="1"/>
      <c r="M15" s="18" t="s">
        <v>81</v>
      </c>
      <c r="N15" s="24">
        <v>134.97</v>
      </c>
      <c r="O15" s="3"/>
      <c r="Q15" s="5" t="s">
        <v>49</v>
      </c>
      <c r="R15" s="3"/>
    </row>
    <row r="16" spans="1:18" x14ac:dyDescent="0.35">
      <c r="A16" s="5" t="s">
        <v>12</v>
      </c>
      <c r="B16" s="3"/>
      <c r="D16" s="20" t="s">
        <v>4</v>
      </c>
      <c r="E16" s="25">
        <v>3372.8560000000002</v>
      </c>
      <c r="G16" s="18" t="s">
        <v>3</v>
      </c>
      <c r="H16" s="6">
        <v>0.2</v>
      </c>
      <c r="I16" s="9">
        <v>84.223200000000006</v>
      </c>
      <c r="K16" s="3"/>
      <c r="L16" s="1"/>
      <c r="M16" s="20" t="s">
        <v>4</v>
      </c>
      <c r="N16" s="25">
        <v>3103.2460000000001</v>
      </c>
      <c r="O16" s="3"/>
      <c r="Q16" s="19" t="s">
        <v>0</v>
      </c>
      <c r="R16" s="21" t="s">
        <v>5</v>
      </c>
    </row>
    <row r="17" spans="1:18" x14ac:dyDescent="0.35">
      <c r="A17" s="21" t="s">
        <v>11</v>
      </c>
      <c r="B17" s="3"/>
      <c r="D17" s="4"/>
      <c r="E17" s="3"/>
      <c r="G17" s="20" t="s">
        <v>4</v>
      </c>
      <c r="H17" s="29">
        <v>7.5</v>
      </c>
      <c r="I17" s="16">
        <v>52.894399999999997</v>
      </c>
      <c r="K17" s="3"/>
      <c r="L17" s="1"/>
      <c r="M17" s="4"/>
      <c r="O17" s="3"/>
      <c r="Q17" s="26" t="s">
        <v>23</v>
      </c>
      <c r="R17" s="34">
        <v>163.96</v>
      </c>
    </row>
    <row r="18" spans="1:18" x14ac:dyDescent="0.35">
      <c r="A18" s="21">
        <v>23</v>
      </c>
      <c r="B18" s="3"/>
      <c r="D18" s="10" t="s">
        <v>33</v>
      </c>
      <c r="E18" s="3"/>
      <c r="G18" s="4"/>
      <c r="K18" s="3"/>
      <c r="L18" s="1"/>
      <c r="M18" s="10" t="s">
        <v>38</v>
      </c>
      <c r="O18" s="3"/>
      <c r="Q18" s="17" t="s">
        <v>92</v>
      </c>
      <c r="R18" s="35">
        <v>57.944000000000003</v>
      </c>
    </row>
    <row r="19" spans="1:18" x14ac:dyDescent="0.35">
      <c r="A19" s="4"/>
      <c r="B19" s="3"/>
      <c r="D19" s="19" t="s">
        <v>0</v>
      </c>
      <c r="E19" s="21" t="s">
        <v>5</v>
      </c>
      <c r="G19" s="4"/>
      <c r="K19" s="3"/>
      <c r="L19" s="1"/>
      <c r="M19" s="19" t="s">
        <v>0</v>
      </c>
      <c r="N19" s="30" t="s">
        <v>5</v>
      </c>
      <c r="O19" s="32" t="s">
        <v>37</v>
      </c>
      <c r="Q19" s="17" t="s">
        <v>14</v>
      </c>
      <c r="R19" s="35">
        <v>1550.4359999999999</v>
      </c>
    </row>
    <row r="20" spans="1:18" x14ac:dyDescent="0.35">
      <c r="A20" s="5" t="s">
        <v>30</v>
      </c>
      <c r="B20" s="3"/>
      <c r="D20" s="26" t="s">
        <v>21</v>
      </c>
      <c r="E20" s="23">
        <v>110.214</v>
      </c>
      <c r="G20" s="10" t="s">
        <v>40</v>
      </c>
      <c r="K20" s="3"/>
      <c r="L20" s="1"/>
      <c r="M20" s="26" t="s">
        <v>82</v>
      </c>
      <c r="N20" s="27">
        <v>490.32</v>
      </c>
      <c r="O20" s="28">
        <v>0</v>
      </c>
      <c r="Q20" s="18" t="s">
        <v>17</v>
      </c>
      <c r="R20" s="35">
        <v>1600.5160000000001</v>
      </c>
    </row>
    <row r="21" spans="1:18" x14ac:dyDescent="0.35">
      <c r="A21" s="21" t="s">
        <v>13</v>
      </c>
      <c r="B21" s="3"/>
      <c r="D21" s="17" t="s">
        <v>70</v>
      </c>
      <c r="E21" s="24">
        <v>647.36</v>
      </c>
      <c r="G21" s="19" t="s">
        <v>0</v>
      </c>
      <c r="H21" s="21" t="s">
        <v>13</v>
      </c>
      <c r="K21" s="3"/>
      <c r="L21" s="1"/>
      <c r="M21" s="17" t="s">
        <v>83</v>
      </c>
      <c r="N21" s="6">
        <v>480.96</v>
      </c>
      <c r="O21" s="9">
        <v>0.5</v>
      </c>
      <c r="Q21" s="20" t="s">
        <v>4</v>
      </c>
      <c r="R21" s="33">
        <v>3372.8560000000002</v>
      </c>
    </row>
    <row r="22" spans="1:18" x14ac:dyDescent="0.35">
      <c r="A22" s="21">
        <v>23</v>
      </c>
      <c r="B22" s="3"/>
      <c r="D22" s="17" t="s">
        <v>20</v>
      </c>
      <c r="E22" s="24">
        <v>219.92</v>
      </c>
      <c r="G22" s="26" t="s">
        <v>1</v>
      </c>
      <c r="H22" s="23">
        <v>3</v>
      </c>
      <c r="K22" s="3"/>
      <c r="L22" s="1"/>
      <c r="M22" s="17" t="s">
        <v>84</v>
      </c>
      <c r="N22" s="6">
        <v>62.31</v>
      </c>
      <c r="O22" s="9">
        <v>0</v>
      </c>
      <c r="Q22" s="4"/>
      <c r="R22" s="3"/>
    </row>
    <row r="23" spans="1:18" x14ac:dyDescent="0.35">
      <c r="A23" s="7"/>
      <c r="B23" s="8"/>
      <c r="D23" s="17" t="s">
        <v>29</v>
      </c>
      <c r="E23" s="24">
        <v>96.468000000000004</v>
      </c>
      <c r="G23" s="17" t="s">
        <v>2</v>
      </c>
      <c r="H23" s="24">
        <v>17</v>
      </c>
      <c r="K23" s="3"/>
      <c r="L23" s="1"/>
      <c r="M23" s="17" t="s">
        <v>85</v>
      </c>
      <c r="N23" s="6">
        <v>58.05</v>
      </c>
      <c r="O23" s="9">
        <v>0</v>
      </c>
      <c r="Q23" s="4"/>
      <c r="R23" s="3"/>
    </row>
    <row r="24" spans="1:18" x14ac:dyDescent="0.35">
      <c r="D24" s="17" t="s">
        <v>26</v>
      </c>
      <c r="E24" s="24">
        <v>1454.9</v>
      </c>
      <c r="G24" s="18" t="s">
        <v>3</v>
      </c>
      <c r="H24" s="24">
        <v>3</v>
      </c>
      <c r="K24" s="3"/>
      <c r="L24" s="1"/>
      <c r="M24" s="17" t="s">
        <v>86</v>
      </c>
      <c r="N24" s="6">
        <v>1454.9</v>
      </c>
      <c r="O24" s="9">
        <v>0</v>
      </c>
      <c r="Q24" s="7"/>
      <c r="R24" s="8"/>
    </row>
    <row r="25" spans="1:18" x14ac:dyDescent="0.35">
      <c r="D25" s="17" t="s">
        <v>19</v>
      </c>
      <c r="E25" s="24">
        <v>25.16</v>
      </c>
      <c r="G25" s="20" t="s">
        <v>4</v>
      </c>
      <c r="H25" s="25">
        <v>23</v>
      </c>
      <c r="K25" s="3"/>
      <c r="L25" s="1"/>
      <c r="M25" s="17" t="s">
        <v>87</v>
      </c>
      <c r="N25" s="6">
        <v>92.063999999999993</v>
      </c>
      <c r="O25" s="9">
        <v>0.8</v>
      </c>
    </row>
    <row r="26" spans="1:18" x14ac:dyDescent="0.35">
      <c r="D26" s="17" t="s">
        <v>16</v>
      </c>
      <c r="E26" s="24">
        <v>15.792</v>
      </c>
      <c r="G26" s="4"/>
      <c r="K26" s="3"/>
      <c r="L26" s="1"/>
      <c r="M26" s="17" t="s">
        <v>88</v>
      </c>
      <c r="N26" s="6">
        <v>134.97</v>
      </c>
      <c r="O26" s="9">
        <v>0</v>
      </c>
    </row>
    <row r="27" spans="1:18" x14ac:dyDescent="0.35">
      <c r="D27" s="17" t="s">
        <v>22</v>
      </c>
      <c r="E27" s="24">
        <v>180.136</v>
      </c>
      <c r="G27" s="4"/>
      <c r="K27" s="3"/>
      <c r="L27" s="1"/>
      <c r="M27" s="17" t="s">
        <v>89</v>
      </c>
      <c r="N27" s="6">
        <v>79.36</v>
      </c>
      <c r="O27" s="9">
        <v>0</v>
      </c>
    </row>
    <row r="28" spans="1:18" x14ac:dyDescent="0.35">
      <c r="D28" s="17" t="s">
        <v>27</v>
      </c>
      <c r="E28" s="24">
        <v>134.97</v>
      </c>
      <c r="G28" s="4"/>
      <c r="K28" s="3"/>
      <c r="L28" s="1"/>
      <c r="M28" s="17" t="s">
        <v>90</v>
      </c>
      <c r="N28" s="6">
        <v>86.352000000000004</v>
      </c>
      <c r="O28" s="9">
        <v>0.2</v>
      </c>
    </row>
    <row r="29" spans="1:18" x14ac:dyDescent="0.35">
      <c r="D29" s="17" t="s">
        <v>71</v>
      </c>
      <c r="E29" s="24">
        <v>6.976</v>
      </c>
      <c r="G29" s="7"/>
      <c r="H29" s="13"/>
      <c r="I29" s="13"/>
      <c r="J29" s="13"/>
      <c r="K29" s="8"/>
      <c r="L29" s="1"/>
      <c r="M29" s="18" t="s">
        <v>91</v>
      </c>
      <c r="N29" s="6">
        <v>163.96</v>
      </c>
      <c r="O29" s="9">
        <v>0.2</v>
      </c>
    </row>
    <row r="30" spans="1:18" x14ac:dyDescent="0.35">
      <c r="D30" s="18" t="s">
        <v>28</v>
      </c>
      <c r="E30" s="24">
        <v>480.96</v>
      </c>
      <c r="L30" s="1"/>
      <c r="M30" s="20" t="s">
        <v>4</v>
      </c>
      <c r="N30" s="29">
        <v>3103.2460000000001</v>
      </c>
      <c r="O30" s="16">
        <v>1.7000000000000002</v>
      </c>
    </row>
    <row r="31" spans="1:18" x14ac:dyDescent="0.35">
      <c r="D31" s="20" t="s">
        <v>4</v>
      </c>
      <c r="E31" s="25">
        <v>3372.8560000000002</v>
      </c>
      <c r="L31" s="1"/>
    </row>
    <row r="32" spans="1:18" x14ac:dyDescent="0.35">
      <c r="L32" s="1"/>
    </row>
    <row r="33" spans="1:14" x14ac:dyDescent="0.35">
      <c r="L33" s="1"/>
    </row>
    <row r="34" spans="1:14" x14ac:dyDescent="0.35">
      <c r="L34" s="1"/>
    </row>
    <row r="35" spans="1:14" ht="26" x14ac:dyDescent="0.6">
      <c r="A35" s="47" t="s">
        <v>45</v>
      </c>
      <c r="B35" s="48"/>
      <c r="C35" s="48"/>
      <c r="D35" s="48"/>
      <c r="E35" s="48"/>
      <c r="F35" s="48"/>
      <c r="G35" s="48"/>
      <c r="H35" s="48"/>
      <c r="I35" s="48"/>
      <c r="J35" s="48"/>
      <c r="K35" s="48"/>
      <c r="L35" s="48"/>
      <c r="M35" s="48"/>
      <c r="N35" s="40"/>
    </row>
    <row r="36" spans="1:14" x14ac:dyDescent="0.35">
      <c r="A36" s="5" t="s">
        <v>50</v>
      </c>
      <c r="D36" s="14" t="s">
        <v>51</v>
      </c>
      <c r="G36" s="14" t="s">
        <v>52</v>
      </c>
      <c r="L36" s="1"/>
      <c r="N36" s="3"/>
    </row>
    <row r="37" spans="1:14" x14ac:dyDescent="0.35">
      <c r="A37" s="19" t="s">
        <v>0</v>
      </c>
      <c r="B37" s="21" t="s">
        <v>6</v>
      </c>
      <c r="D37" s="19" t="s">
        <v>0</v>
      </c>
      <c r="E37" s="21" t="s">
        <v>11</v>
      </c>
      <c r="G37" s="19" t="s">
        <v>0</v>
      </c>
      <c r="H37" s="21" t="s">
        <v>13</v>
      </c>
      <c r="J37" s="12" t="s">
        <v>35</v>
      </c>
      <c r="L37" s="1"/>
      <c r="M37" s="14" t="s">
        <v>53</v>
      </c>
      <c r="N37" s="3"/>
    </row>
    <row r="38" spans="1:14" x14ac:dyDescent="0.35">
      <c r="A38" s="26" t="s">
        <v>54</v>
      </c>
      <c r="B38" s="23">
        <v>4</v>
      </c>
      <c r="D38" s="26" t="s">
        <v>54</v>
      </c>
      <c r="E38" s="23">
        <v>1</v>
      </c>
      <c r="G38" s="26" t="s">
        <v>54</v>
      </c>
      <c r="H38" s="23">
        <v>1</v>
      </c>
      <c r="J38" s="19" t="s">
        <v>0</v>
      </c>
      <c r="K38" s="21" t="s">
        <v>5</v>
      </c>
      <c r="L38" s="1"/>
      <c r="M38" s="19" t="s">
        <v>0</v>
      </c>
      <c r="N38" s="21" t="s">
        <v>7</v>
      </c>
    </row>
    <row r="39" spans="1:14" x14ac:dyDescent="0.35">
      <c r="A39" s="17" t="s">
        <v>55</v>
      </c>
      <c r="B39" s="24">
        <v>7</v>
      </c>
      <c r="D39" s="17" t="s">
        <v>55</v>
      </c>
      <c r="E39" s="24">
        <v>2</v>
      </c>
      <c r="G39" s="17" t="s">
        <v>55</v>
      </c>
      <c r="H39" s="24">
        <v>2</v>
      </c>
      <c r="J39" s="26" t="s">
        <v>54</v>
      </c>
      <c r="K39" s="23">
        <v>6.976</v>
      </c>
      <c r="L39" s="1"/>
      <c r="M39" s="26" t="s">
        <v>54</v>
      </c>
      <c r="N39" s="23">
        <v>-1.3952</v>
      </c>
    </row>
    <row r="40" spans="1:14" x14ac:dyDescent="0.35">
      <c r="A40" s="17" t="s">
        <v>56</v>
      </c>
      <c r="B40" s="24">
        <v>6</v>
      </c>
      <c r="D40" s="17" t="s">
        <v>56</v>
      </c>
      <c r="E40" s="24">
        <v>2</v>
      </c>
      <c r="G40" s="17" t="s">
        <v>56</v>
      </c>
      <c r="H40" s="24">
        <v>2</v>
      </c>
      <c r="J40" s="17" t="s">
        <v>55</v>
      </c>
      <c r="K40" s="24">
        <v>1487.0920000000001</v>
      </c>
      <c r="L40" s="1"/>
      <c r="M40" s="17" t="s">
        <v>55</v>
      </c>
      <c r="N40" s="24">
        <v>297.79399999999998</v>
      </c>
    </row>
    <row r="41" spans="1:14" x14ac:dyDescent="0.35">
      <c r="A41" s="17" t="s">
        <v>57</v>
      </c>
      <c r="B41" s="24">
        <v>9</v>
      </c>
      <c r="D41" s="17" t="s">
        <v>57</v>
      </c>
      <c r="E41" s="24">
        <v>2</v>
      </c>
      <c r="G41" s="17" t="s">
        <v>57</v>
      </c>
      <c r="H41" s="24">
        <v>2</v>
      </c>
      <c r="J41" s="17" t="s">
        <v>56</v>
      </c>
      <c r="K41" s="24">
        <v>95.207999999999998</v>
      </c>
      <c r="L41" s="1"/>
      <c r="M41" s="17" t="s">
        <v>56</v>
      </c>
      <c r="N41" s="24">
        <v>8.3858999999999995</v>
      </c>
    </row>
    <row r="42" spans="1:14" x14ac:dyDescent="0.35">
      <c r="A42" s="17" t="s">
        <v>58</v>
      </c>
      <c r="B42" s="24">
        <v>5</v>
      </c>
      <c r="D42" s="17" t="s">
        <v>58</v>
      </c>
      <c r="E42" s="24">
        <v>1</v>
      </c>
      <c r="G42" s="17" t="s">
        <v>58</v>
      </c>
      <c r="H42" s="24">
        <v>1</v>
      </c>
      <c r="J42" s="17" t="s">
        <v>57</v>
      </c>
      <c r="K42" s="24">
        <v>196.744</v>
      </c>
      <c r="L42" s="1"/>
      <c r="M42" s="17" t="s">
        <v>57</v>
      </c>
      <c r="N42" s="24">
        <v>-25.802900000000001</v>
      </c>
    </row>
    <row r="43" spans="1:14" x14ac:dyDescent="0.35">
      <c r="A43" s="17" t="s">
        <v>59</v>
      </c>
      <c r="B43" s="24">
        <v>3</v>
      </c>
      <c r="D43" s="17" t="s">
        <v>59</v>
      </c>
      <c r="E43" s="24">
        <v>1</v>
      </c>
      <c r="G43" s="17" t="s">
        <v>59</v>
      </c>
      <c r="H43" s="24">
        <v>1</v>
      </c>
      <c r="J43" s="17" t="s">
        <v>58</v>
      </c>
      <c r="K43" s="24">
        <v>26.7</v>
      </c>
      <c r="L43" s="1"/>
      <c r="M43" s="17" t="s">
        <v>58</v>
      </c>
      <c r="N43" s="24">
        <v>12.548999999999999</v>
      </c>
    </row>
    <row r="44" spans="1:14" x14ac:dyDescent="0.35">
      <c r="A44" s="17" t="s">
        <v>60</v>
      </c>
      <c r="B44" s="24">
        <v>3</v>
      </c>
      <c r="D44" s="17" t="s">
        <v>60</v>
      </c>
      <c r="E44" s="24">
        <v>1</v>
      </c>
      <c r="G44" s="17" t="s">
        <v>60</v>
      </c>
      <c r="H44" s="24">
        <v>1</v>
      </c>
      <c r="J44" s="17" t="s">
        <v>59</v>
      </c>
      <c r="K44" s="24">
        <v>58.05</v>
      </c>
      <c r="L44" s="1"/>
      <c r="M44" s="17" t="s">
        <v>59</v>
      </c>
      <c r="N44" s="24">
        <v>26.702999999999999</v>
      </c>
    </row>
    <row r="45" spans="1:14" x14ac:dyDescent="0.35">
      <c r="A45" s="17" t="s">
        <v>61</v>
      </c>
      <c r="B45" s="24">
        <v>3</v>
      </c>
      <c r="D45" s="17" t="s">
        <v>61</v>
      </c>
      <c r="E45" s="24">
        <v>1</v>
      </c>
      <c r="G45" s="17" t="s">
        <v>61</v>
      </c>
      <c r="H45" s="24">
        <v>1</v>
      </c>
      <c r="J45" s="17" t="s">
        <v>60</v>
      </c>
      <c r="K45" s="24">
        <v>16.175999999999998</v>
      </c>
      <c r="M45" s="17" t="s">
        <v>60</v>
      </c>
      <c r="N45" s="24">
        <v>6.0659999999999998</v>
      </c>
    </row>
    <row r="46" spans="1:14" x14ac:dyDescent="0.35">
      <c r="A46" s="17" t="s">
        <v>62</v>
      </c>
      <c r="B46" s="24">
        <v>9</v>
      </c>
      <c r="D46" s="17" t="s">
        <v>62</v>
      </c>
      <c r="E46" s="24">
        <v>2</v>
      </c>
      <c r="G46" s="17" t="s">
        <v>62</v>
      </c>
      <c r="H46" s="24">
        <v>2</v>
      </c>
      <c r="J46" s="17" t="s">
        <v>61</v>
      </c>
      <c r="K46" s="24">
        <v>134.97</v>
      </c>
      <c r="M46" s="17" t="s">
        <v>61</v>
      </c>
      <c r="N46" s="24">
        <v>64.785600000000002</v>
      </c>
    </row>
    <row r="47" spans="1:14" x14ac:dyDescent="0.35">
      <c r="A47" s="17" t="s">
        <v>63</v>
      </c>
      <c r="B47" s="24">
        <v>17</v>
      </c>
      <c r="D47" s="17" t="s">
        <v>63</v>
      </c>
      <c r="E47" s="24">
        <v>2</v>
      </c>
      <c r="G47" s="17" t="s">
        <v>63</v>
      </c>
      <c r="H47" s="24">
        <v>2</v>
      </c>
      <c r="J47" s="17" t="s">
        <v>62</v>
      </c>
      <c r="K47" s="24">
        <v>93.143999999999991</v>
      </c>
      <c r="M47" s="17" t="s">
        <v>62</v>
      </c>
      <c r="N47" s="24">
        <v>-227.28479999999999</v>
      </c>
    </row>
    <row r="48" spans="1:14" x14ac:dyDescent="0.35">
      <c r="A48" s="17" t="s">
        <v>64</v>
      </c>
      <c r="B48" s="24">
        <v>5</v>
      </c>
      <c r="D48" s="17" t="s">
        <v>64</v>
      </c>
      <c r="E48" s="24">
        <v>1</v>
      </c>
      <c r="G48" s="17" t="s">
        <v>64</v>
      </c>
      <c r="H48" s="24">
        <v>1</v>
      </c>
      <c r="J48" s="17" t="s">
        <v>63</v>
      </c>
      <c r="K48" s="24">
        <v>535.16800000000001</v>
      </c>
      <c r="M48" s="17" t="s">
        <v>63</v>
      </c>
      <c r="N48" s="24">
        <v>-260.52879999999999</v>
      </c>
    </row>
    <row r="49" spans="1:14" x14ac:dyDescent="0.35">
      <c r="A49" s="17" t="s">
        <v>65</v>
      </c>
      <c r="B49" s="24">
        <v>3</v>
      </c>
      <c r="D49" s="17" t="s">
        <v>65</v>
      </c>
      <c r="E49" s="24">
        <v>1</v>
      </c>
      <c r="G49" s="17" t="s">
        <v>65</v>
      </c>
      <c r="H49" s="24">
        <v>1</v>
      </c>
      <c r="J49" s="17" t="s">
        <v>64</v>
      </c>
      <c r="K49" s="24">
        <v>25.16</v>
      </c>
      <c r="M49" s="17" t="s">
        <v>64</v>
      </c>
      <c r="N49" s="24">
        <v>-11.321999999999999</v>
      </c>
    </row>
    <row r="50" spans="1:14" x14ac:dyDescent="0.35">
      <c r="A50" s="17" t="s">
        <v>66</v>
      </c>
      <c r="B50" s="24">
        <v>6</v>
      </c>
      <c r="D50" s="17" t="s">
        <v>66</v>
      </c>
      <c r="E50" s="24">
        <v>2</v>
      </c>
      <c r="G50" s="17" t="s">
        <v>66</v>
      </c>
      <c r="H50" s="24">
        <v>2</v>
      </c>
      <c r="J50" s="17" t="s">
        <v>65</v>
      </c>
      <c r="K50" s="24">
        <v>62.31</v>
      </c>
      <c r="M50" s="17" t="s">
        <v>65</v>
      </c>
      <c r="N50" s="24">
        <v>22.4316</v>
      </c>
    </row>
    <row r="51" spans="1:14" x14ac:dyDescent="0.35">
      <c r="A51" s="17" t="s">
        <v>67</v>
      </c>
      <c r="B51" s="24">
        <v>13</v>
      </c>
      <c r="D51" s="17" t="s">
        <v>67</v>
      </c>
      <c r="E51" s="24">
        <v>2</v>
      </c>
      <c r="G51" s="17" t="s">
        <v>67</v>
      </c>
      <c r="H51" s="24">
        <v>2</v>
      </c>
      <c r="J51" s="17" t="s">
        <v>66</v>
      </c>
      <c r="K51" s="24">
        <v>56.754000000000005</v>
      </c>
      <c r="M51" s="17" t="s">
        <v>66</v>
      </c>
      <c r="N51" s="24">
        <v>-16.711500000000001</v>
      </c>
    </row>
    <row r="52" spans="1:14" x14ac:dyDescent="0.35">
      <c r="A52" s="17" t="s">
        <v>68</v>
      </c>
      <c r="B52" s="24">
        <v>3</v>
      </c>
      <c r="D52" s="17" t="s">
        <v>68</v>
      </c>
      <c r="E52" s="24">
        <v>1</v>
      </c>
      <c r="G52" s="17" t="s">
        <v>68</v>
      </c>
      <c r="H52" s="24">
        <v>1</v>
      </c>
      <c r="J52" s="17" t="s">
        <v>67</v>
      </c>
      <c r="K52" s="24">
        <v>569.67999999999995</v>
      </c>
      <c r="M52" s="17" t="s">
        <v>67</v>
      </c>
      <c r="N52" s="24">
        <v>157.92320000000001</v>
      </c>
    </row>
    <row r="53" spans="1:14" x14ac:dyDescent="0.35">
      <c r="A53" s="18" t="s">
        <v>69</v>
      </c>
      <c r="B53" s="24">
        <v>3</v>
      </c>
      <c r="D53" s="18" t="s">
        <v>69</v>
      </c>
      <c r="E53" s="24">
        <v>1</v>
      </c>
      <c r="G53" s="18" t="s">
        <v>69</v>
      </c>
      <c r="H53" s="24">
        <v>1</v>
      </c>
      <c r="J53" s="17" t="s">
        <v>68</v>
      </c>
      <c r="K53" s="24">
        <v>6.9359999999999999</v>
      </c>
      <c r="M53" s="17" t="s">
        <v>68</v>
      </c>
      <c r="N53" s="24">
        <v>2.3409</v>
      </c>
    </row>
    <row r="54" spans="1:14" x14ac:dyDescent="0.35">
      <c r="A54" s="20" t="s">
        <v>4</v>
      </c>
      <c r="B54" s="25">
        <v>99</v>
      </c>
      <c r="D54" s="20" t="s">
        <v>4</v>
      </c>
      <c r="E54" s="25">
        <v>23</v>
      </c>
      <c r="G54" s="20" t="s">
        <v>4</v>
      </c>
      <c r="H54" s="25">
        <v>23</v>
      </c>
      <c r="J54" s="18" t="s">
        <v>69</v>
      </c>
      <c r="K54" s="24">
        <v>1.788</v>
      </c>
      <c r="M54" s="18" t="s">
        <v>69</v>
      </c>
      <c r="N54" s="24">
        <v>-3.0396000000000001</v>
      </c>
    </row>
    <row r="55" spans="1:14" x14ac:dyDescent="0.35">
      <c r="J55" s="20" t="s">
        <v>4</v>
      </c>
      <c r="K55" s="25">
        <v>3372.8560000000002</v>
      </c>
      <c r="M55" s="20" t="s">
        <v>4</v>
      </c>
      <c r="N55" s="25">
        <v>52.894399999999997</v>
      </c>
    </row>
    <row r="59" spans="1:14" x14ac:dyDescent="0.35">
      <c r="C59" s="13"/>
      <c r="F59" s="13"/>
      <c r="I59" s="13"/>
      <c r="L59" s="13"/>
    </row>
  </sheetData>
  <mergeCells count="6">
    <mergeCell ref="Q1:R2"/>
    <mergeCell ref="A1:B2"/>
    <mergeCell ref="D1:E2"/>
    <mergeCell ref="A35:N35"/>
    <mergeCell ref="G1:K2"/>
    <mergeCell ref="M1:O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6250-C41A-4CA7-99BA-17B7EB9E3043}">
  <dimension ref="A1:M25"/>
  <sheetViews>
    <sheetView zoomScale="70" zoomScaleNormal="85" workbookViewId="0"/>
  </sheetViews>
  <sheetFormatPr defaultRowHeight="14.5" x14ac:dyDescent="0.35"/>
  <sheetData>
    <row r="1" spans="1:13" x14ac:dyDescent="0.35">
      <c r="A1" s="2"/>
      <c r="B1" s="2"/>
      <c r="C1" s="2"/>
      <c r="D1" s="2"/>
      <c r="E1" s="2"/>
      <c r="F1" s="2"/>
      <c r="G1" s="2"/>
      <c r="H1" s="2"/>
      <c r="I1" s="2"/>
      <c r="J1" s="2"/>
      <c r="K1" s="2"/>
      <c r="L1" s="2"/>
      <c r="M1" s="2"/>
    </row>
    <row r="2" spans="1:13" x14ac:dyDescent="0.35">
      <c r="A2" s="2"/>
      <c r="B2" s="2"/>
      <c r="C2" s="2"/>
      <c r="D2" s="2"/>
      <c r="E2" s="2"/>
      <c r="F2" s="2"/>
      <c r="G2" s="2"/>
      <c r="H2" s="2"/>
      <c r="I2" s="2"/>
      <c r="J2" s="2"/>
      <c r="K2" s="2"/>
      <c r="L2" s="2"/>
      <c r="M2" s="2"/>
    </row>
    <row r="3" spans="1:13" x14ac:dyDescent="0.35">
      <c r="A3" s="2"/>
      <c r="B3" s="2"/>
      <c r="C3" s="2"/>
      <c r="D3" s="2"/>
      <c r="E3" s="2"/>
      <c r="F3" s="2"/>
      <c r="G3" s="2"/>
      <c r="H3" s="2"/>
      <c r="I3" s="2"/>
      <c r="J3" s="2"/>
      <c r="K3" s="2"/>
      <c r="L3" s="2"/>
      <c r="M3" s="2"/>
    </row>
    <row r="4" spans="1:13" x14ac:dyDescent="0.35">
      <c r="A4" s="2"/>
      <c r="B4" s="2"/>
      <c r="C4" s="2"/>
      <c r="D4" s="2"/>
      <c r="E4" s="2"/>
      <c r="F4" s="2"/>
      <c r="G4" s="2"/>
      <c r="H4" s="2"/>
      <c r="I4" s="2"/>
      <c r="J4" s="2"/>
      <c r="K4" s="2"/>
      <c r="L4" s="2"/>
      <c r="M4" s="2"/>
    </row>
    <row r="5" spans="1:13" x14ac:dyDescent="0.35">
      <c r="A5" s="2"/>
      <c r="B5" s="2"/>
      <c r="C5" s="2"/>
      <c r="D5" s="2"/>
      <c r="E5" s="2"/>
      <c r="F5" s="2"/>
      <c r="G5" s="2"/>
      <c r="H5" s="2"/>
      <c r="I5" s="2"/>
      <c r="J5" s="2"/>
      <c r="K5" s="2"/>
      <c r="L5" s="2"/>
      <c r="M5" s="2"/>
    </row>
    <row r="6" spans="1:13" x14ac:dyDescent="0.35">
      <c r="A6" s="2"/>
      <c r="B6" s="2"/>
      <c r="C6" s="2"/>
      <c r="D6" s="2"/>
      <c r="E6" s="2"/>
      <c r="F6" s="2"/>
      <c r="G6" s="2"/>
      <c r="H6" s="2"/>
      <c r="I6" s="2"/>
      <c r="J6" s="2"/>
      <c r="K6" s="2"/>
      <c r="L6" s="2"/>
      <c r="M6" s="2"/>
    </row>
    <row r="7" spans="1:13" x14ac:dyDescent="0.35">
      <c r="A7" s="2"/>
      <c r="B7" s="2"/>
      <c r="C7" s="2"/>
      <c r="D7" s="2"/>
      <c r="E7" s="2"/>
      <c r="F7" s="2"/>
      <c r="G7" s="2"/>
      <c r="H7" s="2"/>
      <c r="I7" s="2"/>
      <c r="J7" s="2"/>
      <c r="K7" s="2"/>
      <c r="L7" s="2"/>
      <c r="M7" s="2"/>
    </row>
    <row r="8" spans="1:13" x14ac:dyDescent="0.35">
      <c r="A8" s="2"/>
      <c r="B8" s="2"/>
      <c r="C8" s="2"/>
      <c r="D8" s="2"/>
      <c r="E8" s="2"/>
      <c r="F8" s="2"/>
      <c r="G8" s="2"/>
      <c r="H8" s="2"/>
      <c r="I8" s="2"/>
      <c r="J8" s="2"/>
      <c r="K8" s="2"/>
      <c r="L8" s="2"/>
      <c r="M8" s="2"/>
    </row>
    <row r="9" spans="1:13" x14ac:dyDescent="0.35">
      <c r="A9" s="2"/>
      <c r="B9" s="2"/>
      <c r="C9" s="2"/>
      <c r="D9" s="2"/>
      <c r="E9" s="2"/>
      <c r="F9" s="2"/>
      <c r="G9" s="2"/>
      <c r="H9" s="2"/>
      <c r="I9" s="2"/>
      <c r="J9" s="2"/>
      <c r="K9" s="2"/>
      <c r="L9" s="2"/>
      <c r="M9" s="2"/>
    </row>
    <row r="10" spans="1:13" x14ac:dyDescent="0.35">
      <c r="A10" s="2"/>
      <c r="B10" s="2"/>
      <c r="C10" s="2"/>
      <c r="D10" s="2"/>
      <c r="E10" s="2"/>
      <c r="F10" s="2"/>
      <c r="G10" s="2"/>
      <c r="H10" s="2"/>
      <c r="I10" s="2"/>
      <c r="J10" s="2"/>
      <c r="K10" s="2"/>
      <c r="L10" s="2"/>
      <c r="M10" s="2"/>
    </row>
    <row r="11" spans="1:13" x14ac:dyDescent="0.35">
      <c r="A11" s="2"/>
      <c r="B11" s="2"/>
      <c r="C11" s="2"/>
      <c r="D11" s="2"/>
      <c r="E11" s="2"/>
      <c r="F11" s="2"/>
      <c r="G11" s="2"/>
      <c r="H11" s="2"/>
      <c r="I11" s="2"/>
      <c r="J11" s="2"/>
      <c r="K11" s="2"/>
      <c r="L11" s="2"/>
      <c r="M11" s="2"/>
    </row>
    <row r="12" spans="1:13" x14ac:dyDescent="0.35">
      <c r="A12" s="2"/>
      <c r="B12" s="2"/>
      <c r="C12" s="2"/>
      <c r="D12" s="2"/>
      <c r="E12" s="2"/>
      <c r="F12" s="2"/>
      <c r="G12" s="2"/>
      <c r="H12" s="2"/>
      <c r="I12" s="2"/>
      <c r="J12" s="2"/>
      <c r="K12" s="2"/>
      <c r="L12" s="2"/>
      <c r="M12" s="2"/>
    </row>
    <row r="13" spans="1:13" x14ac:dyDescent="0.35">
      <c r="A13" s="2"/>
      <c r="B13" s="2"/>
      <c r="C13" s="2"/>
      <c r="D13" s="2"/>
      <c r="E13" s="2"/>
      <c r="F13" s="2"/>
      <c r="G13" s="2"/>
      <c r="H13" s="2"/>
      <c r="I13" s="2"/>
      <c r="J13" s="2"/>
      <c r="K13" s="2"/>
      <c r="L13" s="2"/>
      <c r="M13" s="2"/>
    </row>
    <row r="14" spans="1:13" x14ac:dyDescent="0.35">
      <c r="A14" s="2"/>
      <c r="B14" s="2"/>
      <c r="C14" s="2"/>
      <c r="D14" s="2"/>
      <c r="E14" s="2"/>
      <c r="F14" s="2"/>
      <c r="G14" s="2"/>
      <c r="H14" s="2"/>
      <c r="I14" s="2"/>
      <c r="J14" s="2"/>
      <c r="K14" s="2"/>
      <c r="L14" s="2"/>
      <c r="M14" s="2"/>
    </row>
    <row r="15" spans="1:13" x14ac:dyDescent="0.35">
      <c r="A15" s="2"/>
      <c r="B15" s="2"/>
      <c r="C15" s="2"/>
      <c r="D15" s="2"/>
      <c r="E15" s="2"/>
      <c r="F15" s="2"/>
      <c r="G15" s="2"/>
      <c r="H15" s="2"/>
      <c r="I15" s="2"/>
      <c r="J15" s="2"/>
      <c r="K15" s="2"/>
      <c r="L15" s="2"/>
      <c r="M15" s="2"/>
    </row>
    <row r="16" spans="1:13" x14ac:dyDescent="0.35">
      <c r="A16" s="2"/>
      <c r="B16" s="2"/>
      <c r="C16" s="2"/>
      <c r="D16" s="2"/>
      <c r="E16" s="2"/>
      <c r="F16" s="2"/>
      <c r="G16" s="2"/>
      <c r="H16" s="2"/>
      <c r="I16" s="2"/>
      <c r="J16" s="2"/>
      <c r="K16" s="2"/>
      <c r="L16" s="2"/>
      <c r="M16" s="2"/>
    </row>
    <row r="17" spans="1:13" x14ac:dyDescent="0.35">
      <c r="A17" s="2"/>
      <c r="B17" s="2"/>
      <c r="C17" s="2"/>
      <c r="D17" s="2"/>
      <c r="E17" s="2"/>
      <c r="F17" s="2"/>
      <c r="G17" s="2"/>
      <c r="H17" s="2"/>
      <c r="I17" s="2"/>
      <c r="J17" s="2"/>
      <c r="K17" s="2"/>
      <c r="L17" s="2"/>
      <c r="M17" s="2"/>
    </row>
    <row r="18" spans="1:13" x14ac:dyDescent="0.35">
      <c r="A18" s="2"/>
      <c r="B18" s="2"/>
      <c r="C18" s="2"/>
      <c r="D18" s="2"/>
      <c r="E18" s="2"/>
      <c r="F18" s="2"/>
      <c r="G18" s="2"/>
      <c r="H18" s="2"/>
      <c r="I18" s="2"/>
      <c r="J18" s="2"/>
      <c r="K18" s="2"/>
      <c r="L18" s="2"/>
      <c r="M18" s="2"/>
    </row>
    <row r="19" spans="1:13" x14ac:dyDescent="0.35">
      <c r="A19" s="2"/>
      <c r="B19" s="2"/>
      <c r="C19" s="2"/>
      <c r="D19" s="2"/>
      <c r="E19" s="2"/>
      <c r="F19" s="2"/>
      <c r="G19" s="2"/>
      <c r="H19" s="2"/>
      <c r="I19" s="2"/>
      <c r="J19" s="2"/>
      <c r="K19" s="2"/>
      <c r="L19" s="2"/>
      <c r="M19" s="2"/>
    </row>
    <row r="20" spans="1:13" x14ac:dyDescent="0.35">
      <c r="A20" s="2"/>
      <c r="B20" s="2"/>
      <c r="C20" s="2"/>
      <c r="D20" s="2"/>
      <c r="E20" s="2"/>
      <c r="F20" s="2"/>
      <c r="G20" s="2"/>
      <c r="H20" s="2"/>
      <c r="I20" s="2"/>
      <c r="J20" s="2"/>
      <c r="K20" s="2"/>
      <c r="L20" s="2"/>
      <c r="M20" s="2"/>
    </row>
    <row r="21" spans="1:13" x14ac:dyDescent="0.35">
      <c r="A21" s="2"/>
      <c r="B21" s="2"/>
      <c r="C21" s="2"/>
      <c r="D21" s="2"/>
      <c r="E21" s="2"/>
      <c r="F21" s="2"/>
      <c r="G21" s="2"/>
      <c r="H21" s="2"/>
      <c r="I21" s="2"/>
      <c r="J21" s="2"/>
      <c r="K21" s="2"/>
      <c r="L21" s="2"/>
      <c r="M21" s="2"/>
    </row>
    <row r="22" spans="1:13" x14ac:dyDescent="0.35">
      <c r="A22" s="2"/>
      <c r="B22" s="2"/>
      <c r="C22" s="2"/>
      <c r="D22" s="2"/>
      <c r="E22" s="2"/>
      <c r="F22" s="2"/>
      <c r="G22" s="2"/>
      <c r="H22" s="2"/>
      <c r="I22" s="2"/>
      <c r="J22" s="2"/>
      <c r="K22" s="2"/>
      <c r="L22" s="2"/>
      <c r="M22" s="2"/>
    </row>
    <row r="23" spans="1:13" x14ac:dyDescent="0.35">
      <c r="A23" s="2"/>
      <c r="B23" s="2"/>
      <c r="C23" s="2"/>
      <c r="D23" s="2"/>
      <c r="E23" s="2"/>
      <c r="F23" s="2"/>
      <c r="G23" s="2"/>
      <c r="H23" s="2"/>
      <c r="I23" s="2"/>
      <c r="J23" s="2"/>
      <c r="K23" s="2"/>
      <c r="L23" s="2"/>
      <c r="M23" s="2"/>
    </row>
    <row r="24" spans="1:13" x14ac:dyDescent="0.35">
      <c r="A24" s="2"/>
      <c r="B24" s="2"/>
      <c r="C24" s="2"/>
      <c r="D24" s="2"/>
      <c r="E24" s="2"/>
      <c r="F24" s="2"/>
      <c r="G24" s="2"/>
      <c r="H24" s="2"/>
      <c r="I24" s="2"/>
      <c r="J24" s="2"/>
      <c r="K24" s="2"/>
      <c r="L24" s="2"/>
      <c r="M24" s="2"/>
    </row>
    <row r="25" spans="1:13" x14ac:dyDescent="0.35">
      <c r="A25" s="2"/>
      <c r="B25" s="2"/>
      <c r="C25" s="2"/>
      <c r="D25" s="2"/>
      <c r="E25" s="2"/>
      <c r="F25" s="2"/>
      <c r="G25" s="2"/>
      <c r="H25" s="2"/>
      <c r="I25" s="2"/>
      <c r="J25" s="2"/>
      <c r="K25" s="2"/>
      <c r="L25" s="2"/>
      <c r="M25"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DF20C-D461-4BE1-A28F-08A66DAB0651}">
  <dimension ref="A1"/>
  <sheetViews>
    <sheetView workbookViewId="0">
      <selection activeCell="L8" sqref="L8"/>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473D-97D9-46C0-8BD5-548EFD1D7F8B}">
  <dimension ref="A1"/>
  <sheetViews>
    <sheetView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9F288-2B82-480D-8A73-947DAF834E36}">
  <dimension ref="A1"/>
  <sheetViews>
    <sheetView workbookViewId="0">
      <selection activeCell="J8" sqref="J8"/>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86D22-BF4E-4820-A1E6-091FCBCB99A7}">
  <dimension ref="A1"/>
  <sheetViews>
    <sheetView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C198590-4E90-4939-8D1A-2251259B269C}">
  <ds:schemaRefs/>
</ds:datastoreItem>
</file>

<file path=customXml/itemProps2.xml><?xml version="1.0" encoding="utf-8"?>
<ds:datastoreItem xmlns:ds="http://schemas.openxmlformats.org/officeDocument/2006/customXml" ds:itemID="{CE13EF56-6583-4895-8EDE-2465F616F34D}">
  <ds:schemaRefs/>
</ds:datastoreItem>
</file>

<file path=customXml/itemProps3.xml><?xml version="1.0" encoding="utf-8"?>
<ds:datastoreItem xmlns:ds="http://schemas.openxmlformats.org/officeDocument/2006/customXml" ds:itemID="{3DA75686-F865-4157-9553-8507EB325085}">
  <ds:schemaRefs/>
</ds:datastoreItem>
</file>

<file path=customXml/itemProps4.xml><?xml version="1.0" encoding="utf-8"?>
<ds:datastoreItem xmlns:ds="http://schemas.openxmlformats.org/officeDocument/2006/customXml" ds:itemID="{BAB0C64E-A43F-4454-A404-FD351A2AAF80}">
  <ds:schemaRefs/>
</ds:datastoreItem>
</file>

<file path=customXml/itemProps5.xml><?xml version="1.0" encoding="utf-8"?>
<ds:datastoreItem xmlns:ds="http://schemas.openxmlformats.org/officeDocument/2006/customXml" ds:itemID="{949A2395-C707-44C7-AF8B-6BE58A9350C1}">
  <ds:schemaRefs/>
</ds:datastoreItem>
</file>

<file path=customXml/itemProps6.xml><?xml version="1.0" encoding="utf-8"?>
<ds:datastoreItem xmlns:ds="http://schemas.openxmlformats.org/officeDocument/2006/customXml" ds:itemID="{4E770211-6717-4C86-AB72-BCD12639B7CD}">
  <ds:schemaRefs/>
</ds:datastoreItem>
</file>

<file path=customXml/itemProps7.xml><?xml version="1.0" encoding="utf-8"?>
<ds:datastoreItem xmlns:ds="http://schemas.openxmlformats.org/officeDocument/2006/customXml" ds:itemID="{6964301B-ACCD-4FC3-9DB6-BF7161A83DAC}">
  <ds:schemaRefs>
    <ds:schemaRef ds:uri="http://schemas.microsoft.com/DataMashup"/>
  </ds:schemaRefs>
</ds:datastoreItem>
</file>

<file path=customXml/itemProps8.xml><?xml version="1.0" encoding="utf-8"?>
<ds:datastoreItem xmlns:ds="http://schemas.openxmlformats.org/officeDocument/2006/customXml" ds:itemID="{C4649215-3269-4974-80A1-B257E85BE866}">
  <ds:schemaRefs/>
</ds:datastoreItem>
</file>

<file path=customXml/itemProps9.xml><?xml version="1.0" encoding="utf-8"?>
<ds:datastoreItem xmlns:ds="http://schemas.openxmlformats.org/officeDocument/2006/customXml" ds:itemID="{463413DA-945D-4792-AD7B-81D33ECAF488}">
  <ds:schemaRefs/>
</ds:datastoreItem>
</file>

<file path=customXml/itemProps10.xml><?xml version="1.0" encoding="utf-8"?>
<ds:datastoreItem xmlns:ds="http://schemas.openxmlformats.org/officeDocument/2006/customXml" ds:itemID="{7FFCC8DB-905C-4793-BCC7-98FB173BB4BF}">
  <ds:schemaRefs/>
</ds:datastoreItem>
</file>

<file path=customXml/itemProps11.xml><?xml version="1.0" encoding="utf-8"?>
<ds:datastoreItem xmlns:ds="http://schemas.openxmlformats.org/officeDocument/2006/customXml" ds:itemID="{EF17B309-6E2B-4A5F-9A39-99A2822068D3}">
  <ds:schemaRefs/>
</ds:datastoreItem>
</file>

<file path=customXml/itemProps12.xml><?xml version="1.0" encoding="utf-8"?>
<ds:datastoreItem xmlns:ds="http://schemas.openxmlformats.org/officeDocument/2006/customXml" ds:itemID="{CE7DA88E-04D6-48A8-8D22-3B4A9DDDFB58}">
  <ds:schemaRefs/>
</ds:datastoreItem>
</file>

<file path=customXml/itemProps13.xml><?xml version="1.0" encoding="utf-8"?>
<ds:datastoreItem xmlns:ds="http://schemas.openxmlformats.org/officeDocument/2006/customXml" ds:itemID="{4604D797-C293-47B8-83A0-96867FFABE43}">
  <ds:schemaRefs/>
</ds:datastoreItem>
</file>

<file path=customXml/itemProps14.xml><?xml version="1.0" encoding="utf-8"?>
<ds:datastoreItem xmlns:ds="http://schemas.openxmlformats.org/officeDocument/2006/customXml" ds:itemID="{0CEC1A27-BA77-4A5D-A3E3-6C797AD22D24}">
  <ds:schemaRefs/>
</ds:datastoreItem>
</file>

<file path=customXml/itemProps15.xml><?xml version="1.0" encoding="utf-8"?>
<ds:datastoreItem xmlns:ds="http://schemas.openxmlformats.org/officeDocument/2006/customXml" ds:itemID="{61DB7C49-00B7-4DB8-AAD1-89481851A858}">
  <ds:schemaRefs/>
</ds:datastoreItem>
</file>

<file path=customXml/itemProps16.xml><?xml version="1.0" encoding="utf-8"?>
<ds:datastoreItem xmlns:ds="http://schemas.openxmlformats.org/officeDocument/2006/customXml" ds:itemID="{734B5D84-7A98-4A23-8A95-FE5DE0DD265F}">
  <ds:schemaRefs/>
</ds:datastoreItem>
</file>

<file path=customXml/itemProps17.xml><?xml version="1.0" encoding="utf-8"?>
<ds:datastoreItem xmlns:ds="http://schemas.openxmlformats.org/officeDocument/2006/customXml" ds:itemID="{C46E2590-2FE6-4C01-AE97-797FF3C892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DASHBOARD</vt:lpstr>
      <vt:lpstr>TOTAL SALES</vt:lpstr>
      <vt:lpstr>TOTAL PROFIT</vt:lpstr>
      <vt:lpstr>TOTAL QUANTITY</vt:lpstr>
      <vt:lpstr>COUNT ORDER 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 Iftikhar</dc:creator>
  <cp:lastModifiedBy>Sana Iftikhar</cp:lastModifiedBy>
  <dcterms:created xsi:type="dcterms:W3CDTF">2026-04-20T05:38:51Z</dcterms:created>
  <dcterms:modified xsi:type="dcterms:W3CDTF">2026-04-28T09:15:11Z</dcterms:modified>
</cp:coreProperties>
</file>